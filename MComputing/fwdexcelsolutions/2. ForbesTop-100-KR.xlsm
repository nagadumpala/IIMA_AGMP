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12120" windowHeight="9120" activeTab="3"/>
  </bookViews>
  <sheets>
    <sheet name="Pivot-table-Q-B" sheetId="5" r:id="rId1"/>
    <sheet name="Points" sheetId="6" r:id="rId2"/>
    <sheet name="Sheet1" sheetId="7" r:id="rId3"/>
    <sheet name="Forbes-Data" sheetId="3" r:id="rId4"/>
  </sheets>
  <definedNames>
    <definedName name="_xlnm._FilterDatabase" localSheetId="3" hidden="1">'Forbes-Data'!$A$4:$H$104</definedName>
    <definedName name="_xlnm.Criteria" localSheetId="3">'Forbes-Data'!$A$132:$A$133</definedName>
    <definedName name="_xlnm.Extract" localSheetId="3">'Forbes-Data'!$A$136:$H$209</definedName>
    <definedName name="forbesdb">'Forbes-Data'!$A$4:$H$104</definedName>
    <definedName name="FT100db">#REF!</definedName>
  </definedNames>
  <calcPr calcId="145621"/>
  <pivotCaches>
    <pivotCache cacheId="11" r:id="rId5"/>
  </pivotCaches>
</workbook>
</file>

<file path=xl/calcChain.xml><?xml version="1.0" encoding="utf-8"?>
<calcChain xmlns="http://schemas.openxmlformats.org/spreadsheetml/2006/main">
  <c r="A133" i="3" l="1"/>
  <c r="K121" i="3"/>
  <c r="D122" i="3"/>
  <c r="C122" i="3"/>
  <c r="B122" i="3"/>
  <c r="A122" i="3"/>
  <c r="N5" i="3"/>
  <c r="I5" i="3" s="1"/>
  <c r="O5" i="3"/>
  <c r="J5" i="3" s="1"/>
  <c r="P5" i="3"/>
  <c r="K5" i="3" s="1"/>
  <c r="Q5" i="3"/>
  <c r="L5" i="3" s="1"/>
  <c r="I6" i="3"/>
  <c r="J6" i="3"/>
  <c r="I7" i="3"/>
  <c r="J10" i="3"/>
  <c r="I13" i="3"/>
  <c r="J22" i="3"/>
  <c r="A121" i="3"/>
  <c r="B121" i="3"/>
  <c r="C121" i="3"/>
  <c r="D121" i="3"/>
  <c r="J54" i="3" l="1"/>
  <c r="L104" i="3"/>
  <c r="L100" i="3"/>
  <c r="L96" i="3"/>
  <c r="L92" i="3"/>
  <c r="L88" i="3"/>
  <c r="L84" i="3"/>
  <c r="L80" i="3"/>
  <c r="L76" i="3"/>
  <c r="L102" i="3"/>
  <c r="L98" i="3"/>
  <c r="L94" i="3"/>
  <c r="L90" i="3"/>
  <c r="L86" i="3"/>
  <c r="L82" i="3"/>
  <c r="L78" i="3"/>
  <c r="L74" i="3"/>
  <c r="J38" i="3"/>
  <c r="L72" i="3"/>
  <c r="L70" i="3"/>
  <c r="L66" i="3"/>
  <c r="L62" i="3"/>
  <c r="L103" i="3"/>
  <c r="L101" i="3"/>
  <c r="L99" i="3"/>
  <c r="L97" i="3"/>
  <c r="L95" i="3"/>
  <c r="L93" i="3"/>
  <c r="L91" i="3"/>
  <c r="L89" i="3"/>
  <c r="L87" i="3"/>
  <c r="L85" i="3"/>
  <c r="L83" i="3"/>
  <c r="L81" i="3"/>
  <c r="L79" i="3"/>
  <c r="L77" i="3"/>
  <c r="L75" i="3"/>
  <c r="L73" i="3"/>
  <c r="L71" i="3"/>
  <c r="L68" i="3"/>
  <c r="M68" i="3" s="1"/>
  <c r="L64" i="3"/>
  <c r="J59" i="3"/>
  <c r="J46" i="3"/>
  <c r="J30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69" i="3"/>
  <c r="J67" i="3"/>
  <c r="J65" i="3"/>
  <c r="J63" i="3"/>
  <c r="J61" i="3"/>
  <c r="J57" i="3"/>
  <c r="J50" i="3"/>
  <c r="J42" i="3"/>
  <c r="J34" i="3"/>
  <c r="J26" i="3"/>
  <c r="K104" i="3"/>
  <c r="I104" i="3"/>
  <c r="K103" i="3"/>
  <c r="I103" i="3"/>
  <c r="M103" i="3" s="1"/>
  <c r="K102" i="3"/>
  <c r="I102" i="3"/>
  <c r="K101" i="3"/>
  <c r="I101" i="3"/>
  <c r="M101" i="3" s="1"/>
  <c r="K100" i="3"/>
  <c r="I100" i="3"/>
  <c r="K99" i="3"/>
  <c r="I99" i="3"/>
  <c r="M99" i="3" s="1"/>
  <c r="K98" i="3"/>
  <c r="I98" i="3"/>
  <c r="K97" i="3"/>
  <c r="I97" i="3"/>
  <c r="M97" i="3" s="1"/>
  <c r="K96" i="3"/>
  <c r="I96" i="3"/>
  <c r="K95" i="3"/>
  <c r="I95" i="3"/>
  <c r="M95" i="3" s="1"/>
  <c r="K94" i="3"/>
  <c r="I94" i="3"/>
  <c r="K93" i="3"/>
  <c r="I93" i="3"/>
  <c r="K92" i="3"/>
  <c r="I92" i="3"/>
  <c r="K91" i="3"/>
  <c r="I91" i="3"/>
  <c r="M91" i="3" s="1"/>
  <c r="K90" i="3"/>
  <c r="I90" i="3"/>
  <c r="K89" i="3"/>
  <c r="I89" i="3"/>
  <c r="M89" i="3" s="1"/>
  <c r="K88" i="3"/>
  <c r="I88" i="3"/>
  <c r="M88" i="3" s="1"/>
  <c r="K87" i="3"/>
  <c r="I87" i="3"/>
  <c r="M87" i="3" s="1"/>
  <c r="K86" i="3"/>
  <c r="I86" i="3"/>
  <c r="M86" i="3" s="1"/>
  <c r="K85" i="3"/>
  <c r="I85" i="3"/>
  <c r="M85" i="3" s="1"/>
  <c r="K84" i="3"/>
  <c r="I84" i="3"/>
  <c r="K83" i="3"/>
  <c r="I83" i="3"/>
  <c r="M83" i="3" s="1"/>
  <c r="K82" i="3"/>
  <c r="I82" i="3"/>
  <c r="K81" i="3"/>
  <c r="I81" i="3"/>
  <c r="K80" i="3"/>
  <c r="I80" i="3"/>
  <c r="K79" i="3"/>
  <c r="I79" i="3"/>
  <c r="M79" i="3" s="1"/>
  <c r="K78" i="3"/>
  <c r="I78" i="3"/>
  <c r="K77" i="3"/>
  <c r="I77" i="3"/>
  <c r="M77" i="3" s="1"/>
  <c r="K76" i="3"/>
  <c r="I76" i="3"/>
  <c r="K75" i="3"/>
  <c r="I75" i="3"/>
  <c r="M75" i="3" s="1"/>
  <c r="K74" i="3"/>
  <c r="I74" i="3"/>
  <c r="K73" i="3"/>
  <c r="I73" i="3"/>
  <c r="M73" i="3" s="1"/>
  <c r="K72" i="3"/>
  <c r="I72" i="3"/>
  <c r="M72" i="3" s="1"/>
  <c r="K71" i="3"/>
  <c r="I71" i="3"/>
  <c r="M71" i="3" s="1"/>
  <c r="I70" i="3"/>
  <c r="I69" i="3"/>
  <c r="I68" i="3"/>
  <c r="I67" i="3"/>
  <c r="I66" i="3"/>
  <c r="I65" i="3"/>
  <c r="I64" i="3"/>
  <c r="I63" i="3"/>
  <c r="I62" i="3"/>
  <c r="K16" i="3"/>
  <c r="J60" i="3"/>
  <c r="J58" i="3"/>
  <c r="M58" i="3" s="1"/>
  <c r="J56" i="3"/>
  <c r="J52" i="3"/>
  <c r="J48" i="3"/>
  <c r="J44" i="3"/>
  <c r="M44" i="3" s="1"/>
  <c r="J40" i="3"/>
  <c r="J36" i="3"/>
  <c r="J32" i="3"/>
  <c r="J28" i="3"/>
  <c r="M28" i="3" s="1"/>
  <c r="J24" i="3"/>
  <c r="J20" i="3"/>
  <c r="J70" i="3"/>
  <c r="L69" i="3"/>
  <c r="J68" i="3"/>
  <c r="L67" i="3"/>
  <c r="J66" i="3"/>
  <c r="L65" i="3"/>
  <c r="M65" i="3" s="1"/>
  <c r="J64" i="3"/>
  <c r="L63" i="3"/>
  <c r="J62" i="3"/>
  <c r="L61" i="3"/>
  <c r="M61" i="3" s="1"/>
  <c r="L60" i="3"/>
  <c r="L59" i="3"/>
  <c r="L58" i="3"/>
  <c r="L57" i="3"/>
  <c r="L56" i="3"/>
  <c r="L55" i="3"/>
  <c r="L53" i="3"/>
  <c r="L51" i="3"/>
  <c r="M51" i="3" s="1"/>
  <c r="J49" i="3"/>
  <c r="J47" i="3"/>
  <c r="J45" i="3"/>
  <c r="J43" i="3"/>
  <c r="J41" i="3"/>
  <c r="J39" i="3"/>
  <c r="J37" i="3"/>
  <c r="J35" i="3"/>
  <c r="J33" i="3"/>
  <c r="J31" i="3"/>
  <c r="J29" i="3"/>
  <c r="J27" i="3"/>
  <c r="J25" i="3"/>
  <c r="J23" i="3"/>
  <c r="J21" i="3"/>
  <c r="J19" i="3"/>
  <c r="K18" i="3"/>
  <c r="K14" i="3"/>
  <c r="I12" i="3"/>
  <c r="I9" i="3"/>
  <c r="K70" i="3"/>
  <c r="K69" i="3"/>
  <c r="K68" i="3"/>
  <c r="K67" i="3"/>
  <c r="K66" i="3"/>
  <c r="K65" i="3"/>
  <c r="K64" i="3"/>
  <c r="K63" i="3"/>
  <c r="K62" i="3"/>
  <c r="K61" i="3"/>
  <c r="I61" i="3"/>
  <c r="K60" i="3"/>
  <c r="M60" i="3" s="1"/>
  <c r="I60" i="3"/>
  <c r="K59" i="3"/>
  <c r="I59" i="3"/>
  <c r="K58" i="3"/>
  <c r="I58" i="3"/>
  <c r="K57" i="3"/>
  <c r="I57" i="3"/>
  <c r="K56" i="3"/>
  <c r="M56" i="3" s="1"/>
  <c r="I56" i="3"/>
  <c r="I55" i="3"/>
  <c r="I54" i="3"/>
  <c r="I53" i="3"/>
  <c r="I52" i="3"/>
  <c r="I51" i="3"/>
  <c r="K17" i="3"/>
  <c r="K15" i="3"/>
  <c r="K13" i="3"/>
  <c r="K12" i="3"/>
  <c r="I11" i="3"/>
  <c r="I10" i="3"/>
  <c r="I8" i="3"/>
  <c r="J55" i="3"/>
  <c r="L54" i="3"/>
  <c r="J53" i="3"/>
  <c r="L52" i="3"/>
  <c r="J51" i="3"/>
  <c r="L50" i="3"/>
  <c r="L49" i="3"/>
  <c r="M49" i="3" s="1"/>
  <c r="L48" i="3"/>
  <c r="L47" i="3"/>
  <c r="L46" i="3"/>
  <c r="L45" i="3"/>
  <c r="M45" i="3" s="1"/>
  <c r="L44" i="3"/>
  <c r="L43" i="3"/>
  <c r="L42" i="3"/>
  <c r="L41" i="3"/>
  <c r="L40" i="3"/>
  <c r="L39" i="3"/>
  <c r="L38" i="3"/>
  <c r="L37" i="3"/>
  <c r="L36" i="3"/>
  <c r="L35" i="3"/>
  <c r="L34" i="3"/>
  <c r="L33" i="3"/>
  <c r="M33" i="3" s="1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J13" i="3"/>
  <c r="L12" i="3"/>
  <c r="M12" i="3" s="1"/>
  <c r="J12" i="3"/>
  <c r="J8" i="3"/>
  <c r="K55" i="3"/>
  <c r="K54" i="3"/>
  <c r="M54" i="3" s="1"/>
  <c r="K53" i="3"/>
  <c r="K52" i="3"/>
  <c r="K51" i="3"/>
  <c r="K50" i="3"/>
  <c r="I50" i="3"/>
  <c r="K49" i="3"/>
  <c r="I49" i="3"/>
  <c r="K48" i="3"/>
  <c r="I48" i="3"/>
  <c r="K47" i="3"/>
  <c r="I47" i="3"/>
  <c r="K46" i="3"/>
  <c r="I46" i="3"/>
  <c r="K45" i="3"/>
  <c r="I45" i="3"/>
  <c r="K44" i="3"/>
  <c r="I44" i="3"/>
  <c r="K43" i="3"/>
  <c r="I43" i="3"/>
  <c r="K42" i="3"/>
  <c r="M42" i="3" s="1"/>
  <c r="I42" i="3"/>
  <c r="K41" i="3"/>
  <c r="I41" i="3"/>
  <c r="K40" i="3"/>
  <c r="I40" i="3"/>
  <c r="K39" i="3"/>
  <c r="I39" i="3"/>
  <c r="K38" i="3"/>
  <c r="I38" i="3"/>
  <c r="K37" i="3"/>
  <c r="I37" i="3"/>
  <c r="K36" i="3"/>
  <c r="I36" i="3"/>
  <c r="K35" i="3"/>
  <c r="I35" i="3"/>
  <c r="K34" i="3"/>
  <c r="M34" i="3" s="1"/>
  <c r="I34" i="3"/>
  <c r="K33" i="3"/>
  <c r="I33" i="3"/>
  <c r="K32" i="3"/>
  <c r="I32" i="3"/>
  <c r="K31" i="3"/>
  <c r="I31" i="3"/>
  <c r="K30" i="3"/>
  <c r="I30" i="3"/>
  <c r="K29" i="3"/>
  <c r="I29" i="3"/>
  <c r="K28" i="3"/>
  <c r="I28" i="3"/>
  <c r="K27" i="3"/>
  <c r="I27" i="3"/>
  <c r="K26" i="3"/>
  <c r="I26" i="3"/>
  <c r="K25" i="3"/>
  <c r="I25" i="3"/>
  <c r="K24" i="3"/>
  <c r="I24" i="3"/>
  <c r="K23" i="3"/>
  <c r="I23" i="3"/>
  <c r="K22" i="3"/>
  <c r="I22" i="3"/>
  <c r="K21" i="3"/>
  <c r="I21" i="3"/>
  <c r="K20" i="3"/>
  <c r="I20" i="3"/>
  <c r="K19" i="3"/>
  <c r="I19" i="3"/>
  <c r="I18" i="3"/>
  <c r="I17" i="3"/>
  <c r="I16" i="3"/>
  <c r="I15" i="3"/>
  <c r="I14" i="3"/>
  <c r="K11" i="3"/>
  <c r="K9" i="3"/>
  <c r="K7" i="3"/>
  <c r="J15" i="3"/>
  <c r="J18" i="3"/>
  <c r="L17" i="3"/>
  <c r="J17" i="3"/>
  <c r="L16" i="3"/>
  <c r="J16" i="3"/>
  <c r="J14" i="3"/>
  <c r="M59" i="3"/>
  <c r="M35" i="3"/>
  <c r="M47" i="3"/>
  <c r="M55" i="3"/>
  <c r="M81" i="3"/>
  <c r="M93" i="3"/>
  <c r="M98" i="3"/>
  <c r="M90" i="3"/>
  <c r="M82" i="3"/>
  <c r="M74" i="3"/>
  <c r="M70" i="3"/>
  <c r="M66" i="3"/>
  <c r="M62" i="3"/>
  <c r="M50" i="3"/>
  <c r="L18" i="3"/>
  <c r="L14" i="3"/>
  <c r="J11" i="3"/>
  <c r="L10" i="3"/>
  <c r="J9" i="3"/>
  <c r="L8" i="3"/>
  <c r="J7" i="3"/>
  <c r="L6" i="3"/>
  <c r="M100" i="3"/>
  <c r="M92" i="3"/>
  <c r="M84" i="3"/>
  <c r="M76" i="3"/>
  <c r="M64" i="3"/>
  <c r="M52" i="3"/>
  <c r="M36" i="3"/>
  <c r="M5" i="3"/>
  <c r="L15" i="3"/>
  <c r="L13" i="3"/>
  <c r="M13" i="3" s="1"/>
  <c r="L11" i="3"/>
  <c r="K10" i="3"/>
  <c r="L9" i="3"/>
  <c r="K8" i="3"/>
  <c r="L7" i="3"/>
  <c r="K6" i="3"/>
  <c r="M57" i="3" l="1"/>
  <c r="M78" i="3"/>
  <c r="M80" i="3"/>
  <c r="M94" i="3"/>
  <c r="M96" i="3"/>
  <c r="M102" i="3"/>
  <c r="M104" i="3"/>
  <c r="M21" i="3"/>
  <c r="M22" i="3"/>
  <c r="M24" i="3"/>
  <c r="M26" i="3"/>
  <c r="M27" i="3"/>
  <c r="M29" i="3"/>
  <c r="M30" i="3"/>
  <c r="M32" i="3"/>
  <c r="M37" i="3"/>
  <c r="M38" i="3"/>
  <c r="M40" i="3"/>
  <c r="M41" i="3"/>
  <c r="M46" i="3"/>
  <c r="M48" i="3"/>
  <c r="M7" i="3"/>
  <c r="M9" i="3"/>
  <c r="M11" i="3"/>
  <c r="M15" i="3"/>
  <c r="M14" i="3"/>
  <c r="M53" i="3"/>
  <c r="M39" i="3"/>
  <c r="M43" i="3"/>
  <c r="M20" i="3"/>
  <c r="M63" i="3"/>
  <c r="M67" i="3"/>
  <c r="M69" i="3"/>
  <c r="M16" i="3"/>
  <c r="M18" i="3"/>
  <c r="M19" i="3"/>
  <c r="M23" i="3"/>
  <c r="M25" i="3"/>
  <c r="M31" i="3"/>
  <c r="M17" i="3"/>
  <c r="M6" i="3"/>
  <c r="M8" i="3"/>
  <c r="M10" i="3"/>
</calcChain>
</file>

<file path=xl/sharedStrings.xml><?xml version="1.0" encoding="utf-8"?>
<sst xmlns="http://schemas.openxmlformats.org/spreadsheetml/2006/main" count="446" uniqueCount="178">
  <si>
    <t>Citigroup</t>
  </si>
  <si>
    <t>United States</t>
  </si>
  <si>
    <t>Banking</t>
  </si>
  <si>
    <t>General Electric</t>
  </si>
  <si>
    <t>Conglomerates</t>
  </si>
  <si>
    <t>American Intl Group</t>
  </si>
  <si>
    <t>Insurance</t>
  </si>
  <si>
    <t>ExxonMobil</t>
  </si>
  <si>
    <t>Oil &amp; gas operations</t>
  </si>
  <si>
    <t>BP</t>
  </si>
  <si>
    <t>United Kingdom</t>
  </si>
  <si>
    <t>Bank of America</t>
  </si>
  <si>
    <t>HSBC Group</t>
  </si>
  <si>
    <t>Toyota Motor</t>
  </si>
  <si>
    <t>Japan</t>
  </si>
  <si>
    <t>Consumer durables</t>
  </si>
  <si>
    <t>Fannie Mae</t>
  </si>
  <si>
    <t>Diversified financials</t>
  </si>
  <si>
    <t>Wal-Mart Stores</t>
  </si>
  <si>
    <t>Retailing</t>
  </si>
  <si>
    <t>UBS</t>
  </si>
  <si>
    <t>Switzerland</t>
  </si>
  <si>
    <t>ING Group</t>
  </si>
  <si>
    <t>Netherlands</t>
  </si>
  <si>
    <t>Royal Dutch/Shell Group</t>
  </si>
  <si>
    <t>Netherlands/ United Kingdom</t>
  </si>
  <si>
    <t>Berkshire Hathaway</t>
  </si>
  <si>
    <t>JP Morgan Chase</t>
  </si>
  <si>
    <t>IBM</t>
  </si>
  <si>
    <t>Technology hardware &amp; equipment</t>
  </si>
  <si>
    <t>Total</t>
  </si>
  <si>
    <t>France</t>
  </si>
  <si>
    <t>BNP Paribas</t>
  </si>
  <si>
    <t>Royal Bank of Scotland</t>
  </si>
  <si>
    <t>Freddie Mac</t>
  </si>
  <si>
    <t>DaimlerChrysler</t>
  </si>
  <si>
    <t>Germany</t>
  </si>
  <si>
    <t>Altria Group</t>
  </si>
  <si>
    <t>Food, drink &amp; tobacco</t>
  </si>
  <si>
    <t>ChevronTexaco</t>
  </si>
  <si>
    <t>Pfizer</t>
  </si>
  <si>
    <t>Drugs &amp; biotechnology</t>
  </si>
  <si>
    <t>Wells Fargo</t>
  </si>
  <si>
    <t>Verizon Commun</t>
  </si>
  <si>
    <t>Telecommunications services</t>
  </si>
  <si>
    <t>Barclays</t>
  </si>
  <si>
    <t>Morgan Stanley</t>
  </si>
  <si>
    <t>General Motors</t>
  </si>
  <si>
    <t>Nippon Tel &amp; Tel</t>
  </si>
  <si>
    <t>Microsoft</t>
  </si>
  <si>
    <t>Software &amp; services</t>
  </si>
  <si>
    <t>Nestlé</t>
  </si>
  <si>
    <t>SBC Communications</t>
  </si>
  <si>
    <t>Deutsche Bank Group</t>
  </si>
  <si>
    <t>Siemens Group</t>
  </si>
  <si>
    <t>HBOS</t>
  </si>
  <si>
    <t>ENI</t>
  </si>
  <si>
    <t>Italy</t>
  </si>
  <si>
    <t>ConocoPhillips</t>
  </si>
  <si>
    <t>Banco Santander Central</t>
  </si>
  <si>
    <t>Spain</t>
  </si>
  <si>
    <t>Merrill Lynch</t>
  </si>
  <si>
    <t>Wachovia</t>
  </si>
  <si>
    <t>Time Warner</t>
  </si>
  <si>
    <t>Media</t>
  </si>
  <si>
    <t>Hewlett-Packard</t>
  </si>
  <si>
    <t>Procter &amp; Gamble</t>
  </si>
  <si>
    <t>Household &amp; personal products</t>
  </si>
  <si>
    <t>Samsung Electronics</t>
  </si>
  <si>
    <t>South Korea</t>
  </si>
  <si>
    <t>Semiconductors</t>
  </si>
  <si>
    <t>Johnson &amp; Johnson</t>
  </si>
  <si>
    <t>Lloyds TSB Group</t>
  </si>
  <si>
    <t>ABN-Amro Holding</t>
  </si>
  <si>
    <t>Honda Motor</t>
  </si>
  <si>
    <t>American Express</t>
  </si>
  <si>
    <t>Nissan Motor</t>
  </si>
  <si>
    <t>Bank One</t>
  </si>
  <si>
    <t>AXA Group</t>
  </si>
  <si>
    <t>Société Générale Group</t>
  </si>
  <si>
    <t>PetroChina</t>
  </si>
  <si>
    <t>China</t>
  </si>
  <si>
    <t>Goldman Sachs Group</t>
  </si>
  <si>
    <t>BBVA-Banco Bilbao Vizcaya</t>
  </si>
  <si>
    <t>Intel</t>
  </si>
  <si>
    <t>MetLife</t>
  </si>
  <si>
    <t>Home Depot</t>
  </si>
  <si>
    <t>Viacom</t>
  </si>
  <si>
    <t>Allstate</t>
  </si>
  <si>
    <t>Merck &amp; Co</t>
  </si>
  <si>
    <t>Novartis Group</t>
  </si>
  <si>
    <t>ENEL</t>
  </si>
  <si>
    <t>Utilities</t>
  </si>
  <si>
    <t>Unilever</t>
  </si>
  <si>
    <t>Washington Mutual</t>
  </si>
  <si>
    <t>Crédit Agricole</t>
  </si>
  <si>
    <t>Deutsche Post</t>
  </si>
  <si>
    <t>Transportation</t>
  </si>
  <si>
    <t>Comcast</t>
  </si>
  <si>
    <t>Volkswagen Group</t>
  </si>
  <si>
    <t>Tokyo Electric Power</t>
  </si>
  <si>
    <t>Munich Re</t>
  </si>
  <si>
    <t>BMW-Bayerische Motor</t>
  </si>
  <si>
    <t>Ford Motor</t>
  </si>
  <si>
    <t>Tyco International</t>
  </si>
  <si>
    <t>Bermuda</t>
  </si>
  <si>
    <t>US Bancorp</t>
  </si>
  <si>
    <t>Roche Group</t>
  </si>
  <si>
    <t>Royal Bank of Canada</t>
  </si>
  <si>
    <t>Canada</t>
  </si>
  <si>
    <t>GlaxoSmithKline</t>
  </si>
  <si>
    <t>China Petroleum &amp; Chemical</t>
  </si>
  <si>
    <t>Sony</t>
  </si>
  <si>
    <t>Nokia</t>
  </si>
  <si>
    <t>Finland</t>
  </si>
  <si>
    <t>BellSouth</t>
  </si>
  <si>
    <t>Walt Disney</t>
  </si>
  <si>
    <t>Natl Australia Bank</t>
  </si>
  <si>
    <t>Australia</t>
  </si>
  <si>
    <t>Gazprom</t>
  </si>
  <si>
    <t>Russia</t>
  </si>
  <si>
    <t>Carrefour Group</t>
  </si>
  <si>
    <t>Food markets</t>
  </si>
  <si>
    <t>Cisco Systems</t>
  </si>
  <si>
    <t>FleetBoston Finl</t>
  </si>
  <si>
    <t>RWE Group</t>
  </si>
  <si>
    <t>UniCredito Italiano</t>
  </si>
  <si>
    <t>BT Group</t>
  </si>
  <si>
    <t>United Parcel Service</t>
  </si>
  <si>
    <t>United Technologies</t>
  </si>
  <si>
    <t>Fortis</t>
  </si>
  <si>
    <t>Dow Chemical</t>
  </si>
  <si>
    <t>Chemicals</t>
  </si>
  <si>
    <t>Aegon Insurance Group</t>
  </si>
  <si>
    <t>Dexia</t>
  </si>
  <si>
    <t>Belgium</t>
  </si>
  <si>
    <t>Renault Group</t>
  </si>
  <si>
    <t>Name</t>
  </si>
  <si>
    <t>Country</t>
  </si>
  <si>
    <t>Category</t>
  </si>
  <si>
    <t>Rank</t>
  </si>
  <si>
    <t>Sales</t>
  </si>
  <si>
    <t>Profits</t>
  </si>
  <si>
    <t>Assets</t>
  </si>
  <si>
    <t>MktVal</t>
  </si>
  <si>
    <t>Count of Name</t>
  </si>
  <si>
    <t>Grand Total</t>
  </si>
  <si>
    <t>&gt;80</t>
  </si>
  <si>
    <t>&gt;=200</t>
  </si>
  <si>
    <t>Q-C</t>
  </si>
  <si>
    <t>Criteria</t>
  </si>
  <si>
    <t>Q-D</t>
  </si>
  <si>
    <t>Closeness %</t>
  </si>
  <si>
    <t>Max-Sales</t>
  </si>
  <si>
    <t>Max Profits</t>
  </si>
  <si>
    <t>Max Assets</t>
  </si>
  <si>
    <t>Max Market Value</t>
  </si>
  <si>
    <t>X-Sales</t>
  </si>
  <si>
    <t>X-Profits</t>
  </si>
  <si>
    <t>X-Assets</t>
  </si>
  <si>
    <t>X-Mkt</t>
  </si>
  <si>
    <t>Close-sales</t>
  </si>
  <si>
    <t>Close-Profits</t>
  </si>
  <si>
    <t>Close-Assets</t>
  </si>
  <si>
    <t>Close-MktV</t>
  </si>
  <si>
    <t>Count</t>
  </si>
  <si>
    <t>Q-E</t>
  </si>
  <si>
    <t>Sum of Sales</t>
  </si>
  <si>
    <t>MAX Sales</t>
  </si>
  <si>
    <t>Q-F</t>
  </si>
  <si>
    <t>Q-G</t>
  </si>
  <si>
    <t>Profits1</t>
  </si>
  <si>
    <t>1) Pivot Table</t>
  </si>
  <si>
    <t>2) Advanced Filter with criteria</t>
  </si>
  <si>
    <t>3) DataBase funtions : Dcount</t>
  </si>
  <si>
    <t>4) Different ways for expressing criteria</t>
  </si>
  <si>
    <t>5) Command button with Macro</t>
  </si>
  <si>
    <t>6) Range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</si>
</sst>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4" fontId="0" fillId="0" borderId="0" xfId="0" applyNumberFormat="1" applyAlignment="1">
      <alignment horizontal="right" wrapText="1"/>
    </xf>
    <xf numFmtId="0" fontId="1" fillId="0" borderId="0" xfId="0" applyFont="1" applyAlignment="1">
      <alignment wrapText="1"/>
    </xf>
    <xf numFmtId="0" fontId="1" fillId="0" borderId="0" xfId="0" applyFont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0" borderId="3" xfId="0" applyNumberFormat="1" applyBorder="1"/>
    <xf numFmtId="0" fontId="0" fillId="0" borderId="4" xfId="0" applyBorder="1"/>
    <xf numFmtId="0" fontId="0" fillId="0" borderId="5" xfId="0" applyNumberFormat="1" applyBorder="1"/>
    <xf numFmtId="0" fontId="0" fillId="0" borderId="6" xfId="0" applyBorder="1"/>
    <xf numFmtId="0" fontId="0" fillId="0" borderId="7" xfId="0" applyNumberFormat="1" applyBorder="1"/>
    <xf numFmtId="0" fontId="0" fillId="0" borderId="8" xfId="0" applyBorder="1"/>
    <xf numFmtId="0" fontId="0" fillId="0" borderId="9" xfId="0" applyBorder="1"/>
    <xf numFmtId="0" fontId="0" fillId="0" borderId="1" xfId="0" applyNumberFormat="1" applyBorder="1"/>
    <xf numFmtId="0" fontId="0" fillId="0" borderId="9" xfId="0" applyNumberFormat="1" applyBorder="1"/>
    <xf numFmtId="0" fontId="0" fillId="0" borderId="4" xfId="0" applyNumberFormat="1" applyBorder="1"/>
    <xf numFmtId="0" fontId="0" fillId="0" borderId="0" xfId="0" applyNumberFormat="1"/>
    <xf numFmtId="0" fontId="0" fillId="0" borderId="6" xfId="0" applyNumberFormat="1" applyBorder="1"/>
    <xf numFmtId="0" fontId="0" fillId="0" borderId="10" xfId="0" applyNumberFormat="1" applyBorder="1"/>
    <xf numFmtId="0" fontId="1" fillId="2" borderId="0" xfId="0" applyFont="1" applyFill="1" applyAlignment="1">
      <alignment wrapText="1"/>
    </xf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0" fillId="0" borderId="0" xfId="0" applyNumberFormat="1" applyFill="1" applyBorder="1"/>
  </cellXfs>
  <cellStyles count="1">
    <cellStyle name="Normal" xfId="0" builtinId="0"/>
  </cellStyles>
  <dxfs count="1">
    <dxf>
      <font>
        <b/>
        <i val="0"/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ads.forbes.com/RealMedia/ads/click_nx.ads/forbes.com/forbes2000@SponsorLogo?x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42</xdr:row>
      <xdr:rowOff>0</xdr:rowOff>
    </xdr:from>
    <xdr:to>
      <xdr:col>3</xdr:col>
      <xdr:colOff>19050</xdr:colOff>
      <xdr:row>42</xdr:row>
      <xdr:rowOff>19050</xdr:rowOff>
    </xdr:to>
    <xdr:pic>
      <xdr:nvPicPr>
        <xdr:cNvPr id="2057" name="Picture 1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000375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19050</xdr:colOff>
      <xdr:row>42</xdr:row>
      <xdr:rowOff>19050</xdr:rowOff>
    </xdr:to>
    <xdr:pic>
      <xdr:nvPicPr>
        <xdr:cNvPr id="2058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0</xdr:col>
      <xdr:colOff>19050</xdr:colOff>
      <xdr:row>42</xdr:row>
      <xdr:rowOff>19050</xdr:rowOff>
    </xdr:to>
    <xdr:pic>
      <xdr:nvPicPr>
        <xdr:cNvPr id="2059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42</xdr:row>
      <xdr:rowOff>0</xdr:rowOff>
    </xdr:from>
    <xdr:to>
      <xdr:col>0</xdr:col>
      <xdr:colOff>38100</xdr:colOff>
      <xdr:row>42</xdr:row>
      <xdr:rowOff>9525</xdr:rowOff>
    </xdr:to>
    <xdr:pic>
      <xdr:nvPicPr>
        <xdr:cNvPr id="2060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10525125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19050</xdr:colOff>
      <xdr:row>113</xdr:row>
      <xdr:rowOff>19050</xdr:rowOff>
    </xdr:to>
    <xdr:pic>
      <xdr:nvPicPr>
        <xdr:cNvPr id="2061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19050</xdr:colOff>
      <xdr:row>113</xdr:row>
      <xdr:rowOff>19050</xdr:rowOff>
    </xdr:to>
    <xdr:pic>
      <xdr:nvPicPr>
        <xdr:cNvPr id="2062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113</xdr:row>
      <xdr:rowOff>0</xdr:rowOff>
    </xdr:from>
    <xdr:to>
      <xdr:col>0</xdr:col>
      <xdr:colOff>38100</xdr:colOff>
      <xdr:row>113</xdr:row>
      <xdr:rowOff>9525</xdr:rowOff>
    </xdr:to>
    <xdr:pic>
      <xdr:nvPicPr>
        <xdr:cNvPr id="2063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19050</xdr:colOff>
      <xdr:row>134</xdr:row>
      <xdr:rowOff>19050</xdr:rowOff>
    </xdr:to>
    <xdr:pic>
      <xdr:nvPicPr>
        <xdr:cNvPr id="2078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963227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0</xdr:col>
      <xdr:colOff>19050</xdr:colOff>
      <xdr:row>134</xdr:row>
      <xdr:rowOff>19050</xdr:rowOff>
    </xdr:to>
    <xdr:pic>
      <xdr:nvPicPr>
        <xdr:cNvPr id="2079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963227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134</xdr:row>
      <xdr:rowOff>0</xdr:rowOff>
    </xdr:from>
    <xdr:to>
      <xdr:col>0</xdr:col>
      <xdr:colOff>38100</xdr:colOff>
      <xdr:row>134</xdr:row>
      <xdr:rowOff>9525</xdr:rowOff>
    </xdr:to>
    <xdr:pic>
      <xdr:nvPicPr>
        <xdr:cNvPr id="2080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9632275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19050</xdr:colOff>
      <xdr:row>153</xdr:row>
      <xdr:rowOff>19050</xdr:rowOff>
    </xdr:to>
    <xdr:pic>
      <xdr:nvPicPr>
        <xdr:cNvPr id="2081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2708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19050</xdr:colOff>
      <xdr:row>153</xdr:row>
      <xdr:rowOff>19050</xdr:rowOff>
    </xdr:to>
    <xdr:pic>
      <xdr:nvPicPr>
        <xdr:cNvPr id="2082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2708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153</xdr:row>
      <xdr:rowOff>0</xdr:rowOff>
    </xdr:from>
    <xdr:to>
      <xdr:col>0</xdr:col>
      <xdr:colOff>38100</xdr:colOff>
      <xdr:row>153</xdr:row>
      <xdr:rowOff>9525</xdr:rowOff>
    </xdr:to>
    <xdr:pic>
      <xdr:nvPicPr>
        <xdr:cNvPr id="2083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32708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19050</xdr:colOff>
      <xdr:row>153</xdr:row>
      <xdr:rowOff>19050</xdr:rowOff>
    </xdr:to>
    <xdr:pic>
      <xdr:nvPicPr>
        <xdr:cNvPr id="2085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2708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153</xdr:row>
      <xdr:rowOff>0</xdr:rowOff>
    </xdr:from>
    <xdr:to>
      <xdr:col>0</xdr:col>
      <xdr:colOff>19050</xdr:colOff>
      <xdr:row>153</xdr:row>
      <xdr:rowOff>19050</xdr:rowOff>
    </xdr:to>
    <xdr:pic>
      <xdr:nvPicPr>
        <xdr:cNvPr id="2086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2708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153</xdr:row>
      <xdr:rowOff>0</xdr:rowOff>
    </xdr:from>
    <xdr:to>
      <xdr:col>0</xdr:col>
      <xdr:colOff>38100</xdr:colOff>
      <xdr:row>153</xdr:row>
      <xdr:rowOff>9525</xdr:rowOff>
    </xdr:to>
    <xdr:pic>
      <xdr:nvPicPr>
        <xdr:cNvPr id="2087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32708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19050</xdr:colOff>
      <xdr:row>163</xdr:row>
      <xdr:rowOff>19050</xdr:rowOff>
    </xdr:to>
    <xdr:pic>
      <xdr:nvPicPr>
        <xdr:cNvPr id="2089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32810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19050</xdr:colOff>
      <xdr:row>163</xdr:row>
      <xdr:rowOff>19050</xdr:rowOff>
    </xdr:to>
    <xdr:pic>
      <xdr:nvPicPr>
        <xdr:cNvPr id="2090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32810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163</xdr:row>
      <xdr:rowOff>0</xdr:rowOff>
    </xdr:from>
    <xdr:to>
      <xdr:col>0</xdr:col>
      <xdr:colOff>38100</xdr:colOff>
      <xdr:row>163</xdr:row>
      <xdr:rowOff>9525</xdr:rowOff>
    </xdr:to>
    <xdr:pic>
      <xdr:nvPicPr>
        <xdr:cNvPr id="2091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343281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19050</xdr:colOff>
      <xdr:row>163</xdr:row>
      <xdr:rowOff>19050</xdr:rowOff>
    </xdr:to>
    <xdr:pic>
      <xdr:nvPicPr>
        <xdr:cNvPr id="2092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32810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0</xdr:col>
      <xdr:colOff>19050</xdr:colOff>
      <xdr:row>163</xdr:row>
      <xdr:rowOff>19050</xdr:rowOff>
    </xdr:to>
    <xdr:pic>
      <xdr:nvPicPr>
        <xdr:cNvPr id="2093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32810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28575</xdr:colOff>
      <xdr:row>163</xdr:row>
      <xdr:rowOff>0</xdr:rowOff>
    </xdr:from>
    <xdr:to>
      <xdr:col>0</xdr:col>
      <xdr:colOff>38100</xdr:colOff>
      <xdr:row>163</xdr:row>
      <xdr:rowOff>9525</xdr:rowOff>
    </xdr:to>
    <xdr:pic>
      <xdr:nvPicPr>
        <xdr:cNvPr id="2094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3432810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0</xdr:col>
      <xdr:colOff>0</xdr:colOff>
      <xdr:row>113</xdr:row>
      <xdr:rowOff>0</xdr:rowOff>
    </xdr:from>
    <xdr:ext cx="19050" cy="19050"/>
    <xdr:pic>
      <xdr:nvPicPr>
        <xdr:cNvPr id="24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113</xdr:row>
      <xdr:rowOff>0</xdr:rowOff>
    </xdr:from>
    <xdr:ext cx="19050" cy="19050"/>
    <xdr:pic>
      <xdr:nvPicPr>
        <xdr:cNvPr id="25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525125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113</xdr:row>
      <xdr:rowOff>0</xdr:rowOff>
    </xdr:from>
    <xdr:ext cx="9525" cy="9525"/>
    <xdr:pic>
      <xdr:nvPicPr>
        <xdr:cNvPr id="26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10525125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27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28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163</xdr:row>
      <xdr:rowOff>0</xdr:rowOff>
    </xdr:from>
    <xdr:ext cx="9525" cy="9525"/>
    <xdr:pic>
      <xdr:nvPicPr>
        <xdr:cNvPr id="29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0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1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163</xdr:row>
      <xdr:rowOff>0</xdr:rowOff>
    </xdr:from>
    <xdr:ext cx="9525" cy="9525"/>
    <xdr:pic>
      <xdr:nvPicPr>
        <xdr:cNvPr id="32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3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4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163</xdr:row>
      <xdr:rowOff>0</xdr:rowOff>
    </xdr:from>
    <xdr:ext cx="9525" cy="9525"/>
    <xdr:pic>
      <xdr:nvPicPr>
        <xdr:cNvPr id="35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6" name="Picture 2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0</xdr:colOff>
      <xdr:row>163</xdr:row>
      <xdr:rowOff>0</xdr:rowOff>
    </xdr:from>
    <xdr:ext cx="19050" cy="19050"/>
    <xdr:pic>
      <xdr:nvPicPr>
        <xdr:cNvPr id="37" name="Picture 3" descr="63626338653139633433366333383530?_RM_EMPTY_&amp;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231850"/>
          <a:ext cx="19050" cy="19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0</xdr:col>
      <xdr:colOff>28575</xdr:colOff>
      <xdr:row>163</xdr:row>
      <xdr:rowOff>0</xdr:rowOff>
    </xdr:from>
    <xdr:ext cx="9525" cy="9525"/>
    <xdr:pic>
      <xdr:nvPicPr>
        <xdr:cNvPr id="38" name="Picture 4" descr="forbes2000@SponsorLogo?x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8575" y="26231850"/>
          <a:ext cx="9525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95250</xdr:rowOff>
        </xdr:from>
        <xdr:to>
          <xdr:col>15</xdr:col>
          <xdr:colOff>323850</xdr:colOff>
          <xdr:row>9</xdr:row>
          <xdr:rowOff>314325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 1</a:t>
              </a: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952500</xdr:colOff>
          <xdr:row>130</xdr:row>
          <xdr:rowOff>38100</xdr:rowOff>
        </xdr:from>
        <xdr:to>
          <xdr:col>2</xdr:col>
          <xdr:colOff>809625</xdr:colOff>
          <xdr:row>132</xdr:row>
          <xdr:rowOff>95250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Display Companies</a:t>
              </a: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130</xdr:row>
          <xdr:rowOff>76200</xdr:rowOff>
        </xdr:from>
        <xdr:to>
          <xdr:col>3</xdr:col>
          <xdr:colOff>1057275</xdr:colOff>
          <xdr:row>132</xdr:row>
          <xdr:rowOff>66675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Erase</a:t>
              </a: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9</xdr:row>
          <xdr:rowOff>457200</xdr:rowOff>
        </xdr:from>
        <xdr:to>
          <xdr:col>15</xdr:col>
          <xdr:colOff>323850</xdr:colOff>
          <xdr:row>10</xdr:row>
          <xdr:rowOff>209550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 2</a:t>
              </a:r>
              <a:endParaRPr lang="en-IN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10</xdr:row>
          <xdr:rowOff>352425</xdr:rowOff>
        </xdr:from>
        <xdr:to>
          <xdr:col>15</xdr:col>
          <xdr:colOff>333375</xdr:colOff>
          <xdr:row>11</xdr:row>
          <xdr:rowOff>104775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Class 3</a:t>
              </a:r>
              <a:endParaRPr lang="en-IN"/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IM" refreshedDate="39626.452676851855" createdVersion="1" refreshedVersion="2" recordCount="100" upgradeOnRefresh="1">
  <cacheSource type="worksheet">
    <worksheetSource ref="A4:H104" sheet="Forbes-Data"/>
  </cacheSource>
  <cacheFields count="8">
    <cacheField name="Rank" numFmtId="0">
      <sharedItems containsSemiMixedTypes="0" containsString="0" containsNumber="1" containsInteger="1" minValue="1" maxValue="100" count="100">
        <n v="94"/>
        <n v="26"/>
        <n v="33"/>
        <n v="84"/>
        <n v="16"/>
        <n v="43"/>
        <n v="89"/>
        <n v="31"/>
        <n v="58"/>
        <n v="10"/>
        <n v="60"/>
        <n v="4"/>
        <n v="23"/>
        <n v="38"/>
        <n v="42"/>
        <n v="70"/>
        <n v="61"/>
        <n v="85"/>
        <n v="3"/>
        <n v="59"/>
        <n v="14"/>
        <n v="62"/>
        <n v="44"/>
        <n v="22"/>
        <n v="24"/>
        <n v="46"/>
        <n v="63"/>
        <n v="9"/>
        <n v="20"/>
        <n v="28"/>
        <n v="40"/>
        <n v="56"/>
        <n v="50"/>
        <n v="29"/>
        <n v="75"/>
        <n v="2"/>
        <n v="95"/>
        <n v="97"/>
        <n v="1"/>
        <n v="15"/>
        <n v="6"/>
        <n v="41"/>
        <n v="25"/>
        <n v="52"/>
        <n v="67"/>
        <n v="90"/>
        <n v="77"/>
        <n v="93"/>
        <n v="5"/>
        <n v="80"/>
        <n v="27"/>
        <n v="7"/>
        <n v="19"/>
        <n v="36"/>
        <n v="47"/>
        <n v="32"/>
        <n v="64"/>
        <n v="78"/>
        <n v="11"/>
        <n v="39"/>
        <n v="57"/>
        <n v="45"/>
        <n v="87"/>
        <n v="13"/>
        <n v="66"/>
        <n v="98"/>
        <n v="12"/>
        <n v="96"/>
        <n v="48"/>
        <n v="72"/>
        <n v="30"/>
        <n v="8"/>
        <n v="82"/>
        <n v="49"/>
        <n v="51"/>
        <n v="65"/>
        <n v="37"/>
        <n v="92"/>
        <n v="91"/>
        <n v="69"/>
        <n v="73"/>
        <n v="34"/>
        <n v="21"/>
        <n v="71"/>
        <n v="74"/>
        <n v="35"/>
        <n v="17"/>
        <n v="53"/>
        <n v="88"/>
        <n v="100"/>
        <n v="18"/>
        <n v="68"/>
        <n v="54"/>
        <n v="83"/>
        <n v="55"/>
        <n v="81"/>
        <n v="79"/>
        <n v="76"/>
        <n v="99"/>
        <n v="86"/>
      </sharedItems>
    </cacheField>
    <cacheField name="Name" numFmtId="0">
      <sharedItems count="100">
        <s v="United Parcel Service"/>
        <s v="Verizon Commun"/>
        <s v="SBC Communications"/>
        <s v="BellSouth"/>
        <s v="IBM"/>
        <s v="Hewlett-Packard"/>
        <s v="Cisco Systems"/>
        <s v="Microsoft"/>
        <s v="Intel"/>
        <s v="Wal-Mart Stores"/>
        <s v="Home Depot"/>
        <s v="ExxonMobil"/>
        <s v="ChevronTexaco"/>
        <s v="ConocoPhillips"/>
        <s v="Time Warner"/>
        <s v="Comcast"/>
        <s v="Viacom"/>
        <s v="Walt Disney"/>
        <s v="American Intl Group"/>
        <s v="MetLife"/>
        <s v="Berkshire Hathaway"/>
        <s v="Allstate"/>
        <s v="Procter &amp; Gamble"/>
        <s v="Altria Group"/>
        <s v="Pfizer"/>
        <s v="Johnson &amp; Johnson"/>
        <s v="Merck &amp; Co"/>
        <s v="Fannie Mae"/>
        <s v="Freddie Mac"/>
        <s v="Morgan Stanley"/>
        <s v="Merrill Lynch"/>
        <s v="Goldman Sachs Group"/>
        <s v="American Express"/>
        <s v="General Motors"/>
        <s v="Ford Motor"/>
        <s v="General Electric"/>
        <s v="United Technologies"/>
        <s v="Dow Chemical"/>
        <s v="Citigroup"/>
        <s v="JP Morgan Chase"/>
        <s v="Bank of America"/>
        <s v="Wachovia"/>
        <s v="Wells Fargo"/>
        <s v="Bank One"/>
        <s v="Washington Mutual"/>
        <s v="FleetBoston Finl"/>
        <s v="US Bancorp"/>
        <s v="BT Group"/>
        <s v="BP"/>
        <s v="GlaxoSmithKline"/>
        <s v="Barclays"/>
        <s v="HSBC Group"/>
        <s v="Royal Bank of Scotland"/>
        <s v="HBOS"/>
        <s v="Lloyds TSB Group"/>
        <s v="Nestlé"/>
        <s v="Novartis Group"/>
        <s v="Roche Group"/>
        <s v="UBS"/>
        <s v="Banco Santander Central"/>
        <s v="BBVA-Banco Bilbao Vizcaya"/>
        <s v="Samsung Electronics"/>
        <s v="Gazprom"/>
        <s v="Royal Dutch/Shell Group"/>
        <s v="Unilever"/>
        <s v="Aegon Insurance Group"/>
        <s v="ING Group"/>
        <s v="Fortis"/>
        <s v="ABN-Amro Holding"/>
        <s v="Tokyo Electric Power"/>
        <s v="Nippon Tel &amp; Tel"/>
        <s v="Toyota Motor"/>
        <s v="Sony"/>
        <s v="Honda Motor"/>
        <s v="Nissan Motor"/>
        <s v="ENEL"/>
        <s v="ENI"/>
        <s v="UniCredito Italiano"/>
        <s v="RWE Group"/>
        <s v="Deutsche Post"/>
        <s v="Munich Re"/>
        <s v="Deutsche Bank Group"/>
        <s v="DaimlerChrysler"/>
        <s v="Volkswagen Group"/>
        <s v="BMW-Bayerische Motor"/>
        <s v="Siemens Group"/>
        <s v="Total"/>
        <s v="AXA Group"/>
        <s v="Carrefour Group"/>
        <s v="Renault Group"/>
        <s v="BNP Paribas"/>
        <s v="Crédit Agricole"/>
        <s v="Société Générale Group"/>
        <s v="Nokia"/>
        <s v="PetroChina"/>
        <s v="China Petroleum &amp; Chemical"/>
        <s v="Royal Bank of Canada"/>
        <s v="Tyco International"/>
        <s v="Dexia"/>
        <s v="Natl Australia Bank"/>
      </sharedItems>
    </cacheField>
    <cacheField name="Country" numFmtId="0">
      <sharedItems count="18">
        <s v="United States"/>
        <s v="United Kingdom"/>
        <s v="Switzerland"/>
        <s v="Spain"/>
        <s v="South Korea"/>
        <s v="Russia"/>
        <s v="Netherlands/ United Kingdom"/>
        <s v="Netherlands"/>
        <s v="Japan"/>
        <s v="Italy"/>
        <s v="Germany"/>
        <s v="France"/>
        <s v="Finland"/>
        <s v="China"/>
        <s v="Canada"/>
        <s v="Bermuda"/>
        <s v="Belgium"/>
        <s v="Australia"/>
      </sharedItems>
    </cacheField>
    <cacheField name="Category" numFmtId="0">
      <sharedItems count="19">
        <s v="Transportation"/>
        <s v="Telecommunications services"/>
        <s v="Technology hardware &amp; equipment"/>
        <s v="Software &amp; services"/>
        <s v="Semiconductors"/>
        <s v="Retailing"/>
        <s v="Oil &amp; gas operations"/>
        <s v="Media"/>
        <s v="Insurance"/>
        <s v="Household &amp; personal products"/>
        <s v="Food, drink &amp; tobacco"/>
        <s v="Drugs &amp; biotechnology"/>
        <s v="Diversified financials"/>
        <s v="Consumer durables"/>
        <s v="Conglomerates"/>
        <s v="Chemicals"/>
        <s v="Banking"/>
        <s v="Utilities"/>
        <s v="Food markets"/>
      </sharedItems>
    </cacheField>
    <cacheField name="Sales" numFmtId="0">
      <sharedItems containsSemiMixedTypes="0" containsString="0" containsNumber="1" minValue="14.22" maxValue="256.33"/>
    </cacheField>
    <cacheField name="Profits" numFmtId="0">
      <sharedItems containsSemiMixedTypes="0" containsString="0" containsNumber="1" minValue="0.56000000000000005" maxValue="20.96"/>
    </cacheField>
    <cacheField name="Assets" numFmtId="0">
      <sharedItems containsSemiMixedTypes="0" containsString="0" containsNumber="1" minValue="28.37" maxValue="1264.03"/>
    </cacheField>
    <cacheField name="MktVal" numFmtId="0">
      <sharedItems containsSemiMixedTypes="0" containsString="0" containsNumber="1" minValue="17.420000000000002" maxValue="328.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">
  <r>
    <x v="0"/>
    <x v="0"/>
    <x v="0"/>
    <x v="0"/>
    <n v="32.81"/>
    <n v="3.54"/>
    <n v="28.37"/>
    <n v="79.62"/>
  </r>
  <r>
    <x v="1"/>
    <x v="1"/>
    <x v="0"/>
    <x v="1"/>
    <n v="67.75"/>
    <n v="2.57"/>
    <n v="165.97"/>
    <n v="103.97"/>
  </r>
  <r>
    <x v="2"/>
    <x v="2"/>
    <x v="0"/>
    <x v="1"/>
    <n v="39.159999999999997"/>
    <n v="5.97"/>
    <n v="100.17"/>
    <n v="82.93"/>
  </r>
  <r>
    <x v="3"/>
    <x v="3"/>
    <x v="0"/>
    <x v="1"/>
    <n v="22.58"/>
    <n v="3.59"/>
    <n v="49.62"/>
    <n v="54.08"/>
  </r>
  <r>
    <x v="4"/>
    <x v="4"/>
    <x v="0"/>
    <x v="2"/>
    <n v="89.13"/>
    <n v="7.58"/>
    <n v="104.46"/>
    <n v="171.54"/>
  </r>
  <r>
    <x v="5"/>
    <x v="5"/>
    <x v="0"/>
    <x v="2"/>
    <n v="73.06"/>
    <n v="2.54"/>
    <n v="74.709999999999994"/>
    <n v="70.2"/>
  </r>
  <r>
    <x v="6"/>
    <x v="6"/>
    <x v="0"/>
    <x v="2"/>
    <n v="19.82"/>
    <n v="4.3499999999999996"/>
    <n v="36.590000000000003"/>
    <n v="166.09"/>
  </r>
  <r>
    <x v="7"/>
    <x v="7"/>
    <x v="0"/>
    <x v="3"/>
    <n v="34.270000000000003"/>
    <n v="8.8800000000000008"/>
    <n v="85.94"/>
    <n v="287.02"/>
  </r>
  <r>
    <x v="8"/>
    <x v="8"/>
    <x v="0"/>
    <x v="4"/>
    <n v="30.14"/>
    <n v="5.64"/>
    <n v="47.14"/>
    <n v="196.87"/>
  </r>
  <r>
    <x v="9"/>
    <x v="9"/>
    <x v="0"/>
    <x v="5"/>
    <n v="256.33"/>
    <n v="9.0500000000000007"/>
    <n v="104.91"/>
    <n v="243.74"/>
  </r>
  <r>
    <x v="10"/>
    <x v="10"/>
    <x v="0"/>
    <x v="5"/>
    <n v="62.9"/>
    <n v="4.04"/>
    <n v="35.369999999999997"/>
    <n v="82.29"/>
  </r>
  <r>
    <x v="11"/>
    <x v="11"/>
    <x v="0"/>
    <x v="6"/>
    <n v="222.88"/>
    <n v="20.96"/>
    <n v="166.99"/>
    <n v="277.02"/>
  </r>
  <r>
    <x v="12"/>
    <x v="12"/>
    <x v="0"/>
    <x v="6"/>
    <n v="112.94"/>
    <n v="7.43"/>
    <n v="82.36"/>
    <n v="92.49"/>
  </r>
  <r>
    <x v="13"/>
    <x v="13"/>
    <x v="0"/>
    <x v="6"/>
    <n v="90.49"/>
    <n v="4.83"/>
    <n v="81.95"/>
    <n v="46.72"/>
  </r>
  <r>
    <x v="14"/>
    <x v="14"/>
    <x v="0"/>
    <x v="7"/>
    <n v="38.08"/>
    <n v="2.65"/>
    <n v="121.78"/>
    <n v="77.95"/>
  </r>
  <r>
    <x v="15"/>
    <x v="15"/>
    <x v="0"/>
    <x v="7"/>
    <n v="18.350000000000001"/>
    <n v="3.24"/>
    <n v="109.16"/>
    <n v="67.3"/>
  </r>
  <r>
    <x v="16"/>
    <x v="16"/>
    <x v="0"/>
    <x v="7"/>
    <n v="25.85"/>
    <n v="2.4700000000000002"/>
    <n v="90.94"/>
    <n v="68.66"/>
  </r>
  <r>
    <x v="17"/>
    <x v="17"/>
    <x v="0"/>
    <x v="7"/>
    <n v="28.44"/>
    <n v="1.92"/>
    <n v="51.52"/>
    <n v="55.06"/>
  </r>
  <r>
    <x v="18"/>
    <x v="18"/>
    <x v="0"/>
    <x v="8"/>
    <n v="76.66"/>
    <n v="6.46"/>
    <n v="647.66"/>
    <n v="194.87"/>
  </r>
  <r>
    <x v="19"/>
    <x v="19"/>
    <x v="0"/>
    <x v="8"/>
    <n v="35.79"/>
    <n v="2.2400000000000002"/>
    <n v="326.83999999999997"/>
    <n v="26.34"/>
  </r>
  <r>
    <x v="20"/>
    <x v="20"/>
    <x v="0"/>
    <x v="8"/>
    <n v="56.22"/>
    <n v="6.95"/>
    <n v="172.24"/>
    <n v="141.13999999999999"/>
  </r>
  <r>
    <x v="21"/>
    <x v="21"/>
    <x v="0"/>
    <x v="8"/>
    <n v="32.15"/>
    <n v="2.73"/>
    <n v="134.13999999999999"/>
    <n v="32.9"/>
  </r>
  <r>
    <x v="22"/>
    <x v="22"/>
    <x v="0"/>
    <x v="9"/>
    <n v="46.99"/>
    <n v="5.81"/>
    <n v="53.86"/>
    <n v="131.88999999999999"/>
  </r>
  <r>
    <x v="23"/>
    <x v="23"/>
    <x v="0"/>
    <x v="10"/>
    <n v="60.7"/>
    <n v="9.1999999999999993"/>
    <n v="96.18"/>
    <n v="111.02"/>
  </r>
  <r>
    <x v="24"/>
    <x v="24"/>
    <x v="0"/>
    <x v="11"/>
    <n v="40.36"/>
    <n v="6.2"/>
    <n v="120.06"/>
    <n v="285.27"/>
  </r>
  <r>
    <x v="25"/>
    <x v="25"/>
    <x v="0"/>
    <x v="11"/>
    <n v="40.01"/>
    <n v="6.74"/>
    <n v="46.66"/>
    <n v="160.96"/>
  </r>
  <r>
    <x v="26"/>
    <x v="26"/>
    <x v="0"/>
    <x v="11"/>
    <n v="30.78"/>
    <n v="7.33"/>
    <n v="42.59"/>
    <n v="108.76"/>
  </r>
  <r>
    <x v="27"/>
    <x v="27"/>
    <x v="0"/>
    <x v="12"/>
    <n v="53.13"/>
    <n v="6.48"/>
    <n v="1019.17"/>
    <n v="76.84"/>
  </r>
  <r>
    <x v="28"/>
    <x v="28"/>
    <x v="0"/>
    <x v="12"/>
    <n v="46.26"/>
    <n v="10.09"/>
    <n v="752.25"/>
    <n v="44.25"/>
  </r>
  <r>
    <x v="29"/>
    <x v="29"/>
    <x v="0"/>
    <x v="12"/>
    <n v="33"/>
    <n v="3.64"/>
    <n v="580.63"/>
    <n v="64.81"/>
  </r>
  <r>
    <x v="30"/>
    <x v="30"/>
    <x v="0"/>
    <x v="12"/>
    <n v="26.64"/>
    <n v="3.47"/>
    <n v="485.77"/>
    <n v="57.52"/>
  </r>
  <r>
    <x v="31"/>
    <x v="31"/>
    <x v="0"/>
    <x v="12"/>
    <n v="22.84"/>
    <n v="2.54"/>
    <n v="394.14"/>
    <n v="50.12"/>
  </r>
  <r>
    <x v="32"/>
    <x v="32"/>
    <x v="0"/>
    <x v="12"/>
    <n v="24.17"/>
    <n v="3"/>
    <n v="175"/>
    <n v="68.89"/>
  </r>
  <r>
    <x v="33"/>
    <x v="33"/>
    <x v="0"/>
    <x v="13"/>
    <n v="185.52"/>
    <n v="3.82"/>
    <n v="450"/>
    <n v="27.47"/>
  </r>
  <r>
    <x v="34"/>
    <x v="34"/>
    <x v="0"/>
    <x v="13"/>
    <n v="164.2"/>
    <n v="0.76"/>
    <n v="312.56"/>
    <n v="26.29"/>
  </r>
  <r>
    <x v="35"/>
    <x v="35"/>
    <x v="0"/>
    <x v="14"/>
    <n v="134.19"/>
    <n v="15.59"/>
    <n v="626.92999999999995"/>
    <n v="328.54"/>
  </r>
  <r>
    <x v="36"/>
    <x v="36"/>
    <x v="0"/>
    <x v="14"/>
    <n v="31.03"/>
    <n v="2.36"/>
    <n v="34.65"/>
    <n v="48.77"/>
  </r>
  <r>
    <x v="37"/>
    <x v="37"/>
    <x v="0"/>
    <x v="15"/>
    <n v="32.630000000000003"/>
    <n v="1.74"/>
    <n v="41.89"/>
    <n v="39.85"/>
  </r>
  <r>
    <x v="38"/>
    <x v="38"/>
    <x v="0"/>
    <x v="16"/>
    <n v="94.71"/>
    <n v="17.850000000000001"/>
    <n v="1264.03"/>
    <n v="255.3"/>
  </r>
  <r>
    <x v="39"/>
    <x v="39"/>
    <x v="0"/>
    <x v="16"/>
    <n v="44.39"/>
    <n v="4.47"/>
    <n v="792.7"/>
    <n v="81.94"/>
  </r>
  <r>
    <x v="40"/>
    <x v="40"/>
    <x v="0"/>
    <x v="16"/>
    <n v="49.01"/>
    <n v="10.81"/>
    <n v="736.45"/>
    <n v="117.55"/>
  </r>
  <r>
    <x v="41"/>
    <x v="41"/>
    <x v="0"/>
    <x v="16"/>
    <n v="24.47"/>
    <n v="4.25"/>
    <n v="400.87"/>
    <n v="62.35"/>
  </r>
  <r>
    <x v="42"/>
    <x v="42"/>
    <x v="0"/>
    <x v="16"/>
    <n v="31.8"/>
    <n v="6.2"/>
    <n v="387.8"/>
    <n v="97.53"/>
  </r>
  <r>
    <x v="43"/>
    <x v="43"/>
    <x v="0"/>
    <x v="16"/>
    <n v="21.04"/>
    <n v="3.4"/>
    <n v="290.01"/>
    <n v="58.38"/>
  </r>
  <r>
    <x v="44"/>
    <x v="44"/>
    <x v="0"/>
    <x v="16"/>
    <n v="18.010000000000002"/>
    <n v="3.88"/>
    <n v="275.18"/>
    <n v="39.69"/>
  </r>
  <r>
    <x v="45"/>
    <x v="45"/>
    <x v="0"/>
    <x v="16"/>
    <n v="14.22"/>
    <n v="2.13"/>
    <n v="196.4"/>
    <n v="47.19"/>
  </r>
  <r>
    <x v="46"/>
    <x v="46"/>
    <x v="0"/>
    <x v="16"/>
    <n v="14.57"/>
    <n v="3.73"/>
    <n v="189.29"/>
    <n v="52.88"/>
  </r>
  <r>
    <x v="47"/>
    <x v="47"/>
    <x v="1"/>
    <x v="1"/>
    <n v="29.58"/>
    <n v="4.24"/>
    <n v="44.42"/>
    <n v="28.73"/>
  </r>
  <r>
    <x v="48"/>
    <x v="48"/>
    <x v="1"/>
    <x v="6"/>
    <n v="232.57"/>
    <n v="10.27"/>
    <n v="177.57"/>
    <n v="173.54"/>
  </r>
  <r>
    <x v="49"/>
    <x v="49"/>
    <x v="1"/>
    <x v="11"/>
    <n v="34.159999999999997"/>
    <n v="6.34"/>
    <n v="29.19"/>
    <n v="124.79"/>
  </r>
  <r>
    <x v="50"/>
    <x v="50"/>
    <x v="1"/>
    <x v="16"/>
    <n v="33.69"/>
    <n v="4.9000000000000004"/>
    <n v="791.54"/>
    <n v="61.33"/>
  </r>
  <r>
    <x v="51"/>
    <x v="51"/>
    <x v="1"/>
    <x v="16"/>
    <n v="44.33"/>
    <n v="6.66"/>
    <n v="757.6"/>
    <n v="177.96"/>
  </r>
  <r>
    <x v="52"/>
    <x v="52"/>
    <x v="1"/>
    <x v="16"/>
    <n v="35.65"/>
    <n v="4.95"/>
    <n v="663.45"/>
    <n v="90.21"/>
  </r>
  <r>
    <x v="53"/>
    <x v="53"/>
    <x v="1"/>
    <x v="16"/>
    <n v="32.68"/>
    <n v="3.09"/>
    <n v="571.76"/>
    <n v="52.87"/>
  </r>
  <r>
    <x v="54"/>
    <x v="54"/>
    <x v="1"/>
    <x v="16"/>
    <n v="24.48"/>
    <n v="2.87"/>
    <n v="406.99"/>
    <n v="48.11"/>
  </r>
  <r>
    <x v="55"/>
    <x v="55"/>
    <x v="2"/>
    <x v="10"/>
    <n v="64.56"/>
    <n v="5.48"/>
    <n v="62.15"/>
    <n v="106.55"/>
  </r>
  <r>
    <x v="56"/>
    <x v="56"/>
    <x v="2"/>
    <x v="11"/>
    <n v="26.77"/>
    <n v="5.4"/>
    <n v="46.92"/>
    <n v="116.43"/>
  </r>
  <r>
    <x v="57"/>
    <x v="57"/>
    <x v="2"/>
    <x v="11"/>
    <n v="25.18"/>
    <n v="2.48"/>
    <n v="45.77"/>
    <n v="95.38"/>
  </r>
  <r>
    <x v="58"/>
    <x v="58"/>
    <x v="2"/>
    <x v="12"/>
    <n v="48.95"/>
    <n v="5.15"/>
    <n v="853.23"/>
    <n v="85.07"/>
  </r>
  <r>
    <x v="59"/>
    <x v="59"/>
    <x v="3"/>
    <x v="16"/>
    <n v="28.7"/>
    <n v="3.28"/>
    <n v="442.24"/>
    <n v="56.78"/>
  </r>
  <r>
    <x v="60"/>
    <x v="60"/>
    <x v="3"/>
    <x v="16"/>
    <n v="24.1"/>
    <n v="2.81"/>
    <n v="288.8"/>
    <n v="44.67"/>
  </r>
  <r>
    <x v="61"/>
    <x v="61"/>
    <x v="4"/>
    <x v="4"/>
    <n v="50.22"/>
    <n v="5.95"/>
    <n v="54.58"/>
    <n v="72.72"/>
  </r>
  <r>
    <x v="62"/>
    <x v="62"/>
    <x v="5"/>
    <x v="6"/>
    <n v="19.21"/>
    <n v="3.81"/>
    <n v="77.150000000000006"/>
    <n v="36.28"/>
  </r>
  <r>
    <x v="63"/>
    <x v="63"/>
    <x v="6"/>
    <x v="6"/>
    <n v="133.5"/>
    <n v="8.4"/>
    <n v="100.72"/>
    <n v="163.44999999999999"/>
  </r>
  <r>
    <x v="64"/>
    <x v="64"/>
    <x v="6"/>
    <x v="10"/>
    <n v="50.7"/>
    <n v="2.2400000000000002"/>
    <n v="45.49"/>
    <n v="72.19"/>
  </r>
  <r>
    <x v="65"/>
    <x v="65"/>
    <x v="7"/>
    <x v="8"/>
    <n v="17.75"/>
    <n v="1.63"/>
    <n v="266.58999999999997"/>
    <n v="23.49"/>
  </r>
  <r>
    <x v="66"/>
    <x v="66"/>
    <x v="7"/>
    <x v="12"/>
    <n v="94.72"/>
    <n v="4.7300000000000004"/>
    <n v="752.49"/>
    <n v="54.59"/>
  </r>
  <r>
    <x v="67"/>
    <x v="67"/>
    <x v="7"/>
    <x v="12"/>
    <n v="52.51"/>
    <n v="0.56000000000000005"/>
    <n v="507.98"/>
    <n v="30.19"/>
  </r>
  <r>
    <x v="68"/>
    <x v="68"/>
    <x v="7"/>
    <x v="16"/>
    <n v="23.64"/>
    <n v="3.98"/>
    <n v="704.95"/>
    <n v="39.29"/>
  </r>
  <r>
    <x v="69"/>
    <x v="69"/>
    <x v="8"/>
    <x v="17"/>
    <n v="41.62"/>
    <n v="1.4"/>
    <n v="116.68"/>
    <n v="30.63"/>
  </r>
  <r>
    <x v="70"/>
    <x v="70"/>
    <x v="8"/>
    <x v="1"/>
    <n v="92.41"/>
    <n v="2.17"/>
    <n v="150.87"/>
    <n v="73"/>
  </r>
  <r>
    <x v="71"/>
    <x v="71"/>
    <x v="8"/>
    <x v="13"/>
    <n v="135.82"/>
    <n v="7.99"/>
    <n v="171.71"/>
    <n v="115.4"/>
  </r>
  <r>
    <x v="72"/>
    <x v="72"/>
    <x v="8"/>
    <x v="13"/>
    <n v="63.23"/>
    <n v="0.98"/>
    <n v="68.040000000000006"/>
    <n v="38"/>
  </r>
  <r>
    <x v="73"/>
    <x v="73"/>
    <x v="8"/>
    <x v="13"/>
    <n v="67.44"/>
    <n v="3.61"/>
    <n v="63.09"/>
    <n v="40.61"/>
  </r>
  <r>
    <x v="74"/>
    <x v="74"/>
    <x v="8"/>
    <x v="13"/>
    <n v="57.77"/>
    <n v="4.1900000000000004"/>
    <n v="60.56"/>
    <n v="41.71"/>
  </r>
  <r>
    <x v="75"/>
    <x v="75"/>
    <x v="9"/>
    <x v="17"/>
    <n v="38.99"/>
    <n v="2.11"/>
    <n v="71.36"/>
    <n v="46.84"/>
  </r>
  <r>
    <x v="76"/>
    <x v="76"/>
    <x v="9"/>
    <x v="6"/>
    <n v="53.29"/>
    <n v="4.82"/>
    <n v="67.91"/>
    <n v="76.13"/>
  </r>
  <r>
    <x v="77"/>
    <x v="77"/>
    <x v="9"/>
    <x v="16"/>
    <n v="16.53"/>
    <n v="1.89"/>
    <n v="223.6"/>
    <n v="33.53"/>
  </r>
  <r>
    <x v="78"/>
    <x v="78"/>
    <x v="10"/>
    <x v="17"/>
    <n v="45.68"/>
    <n v="1.1000000000000001"/>
    <n v="97.35"/>
    <n v="23.76"/>
  </r>
  <r>
    <x v="79"/>
    <x v="79"/>
    <x v="10"/>
    <x v="0"/>
    <n v="41.23"/>
    <n v="1.64"/>
    <n v="169.33"/>
    <n v="26.83"/>
  </r>
  <r>
    <x v="80"/>
    <x v="80"/>
    <x v="10"/>
    <x v="8"/>
    <n v="45.85"/>
    <n v="1.1399999999999999"/>
    <n v="191.33"/>
    <n v="26.63"/>
  </r>
  <r>
    <x v="81"/>
    <x v="81"/>
    <x v="10"/>
    <x v="12"/>
    <n v="58.85"/>
    <n v="1.53"/>
    <n v="792.49"/>
    <n v="50.23"/>
  </r>
  <r>
    <x v="82"/>
    <x v="82"/>
    <x v="10"/>
    <x v="13"/>
    <n v="157.13"/>
    <n v="5.12"/>
    <n v="195.58"/>
    <n v="47.43"/>
  </r>
  <r>
    <x v="83"/>
    <x v="83"/>
    <x v="10"/>
    <x v="13"/>
    <n v="91.33"/>
    <n v="2.71"/>
    <n v="112.87"/>
    <n v="17.420000000000002"/>
  </r>
  <r>
    <x v="84"/>
    <x v="84"/>
    <x v="10"/>
    <x v="13"/>
    <n v="52.23"/>
    <n v="2.12"/>
    <n v="58.11"/>
    <n v="29.03"/>
  </r>
  <r>
    <x v="85"/>
    <x v="85"/>
    <x v="10"/>
    <x v="14"/>
    <n v="86.62"/>
    <n v="2.81"/>
    <n v="85.47"/>
    <n v="75.77"/>
  </r>
  <r>
    <x v="86"/>
    <x v="86"/>
    <x v="11"/>
    <x v="6"/>
    <n v="131.63999999999999"/>
    <n v="8.84"/>
    <n v="87.84"/>
    <n v="116.64"/>
  </r>
  <r>
    <x v="87"/>
    <x v="87"/>
    <x v="11"/>
    <x v="8"/>
    <n v="90.1"/>
    <n v="1"/>
    <n v="456.13"/>
    <n v="41.39"/>
  </r>
  <r>
    <x v="88"/>
    <x v="88"/>
    <x v="11"/>
    <x v="18"/>
    <n v="96.94"/>
    <n v="1.45"/>
    <n v="40.11"/>
    <n v="37.19"/>
  </r>
  <r>
    <x v="89"/>
    <x v="89"/>
    <x v="11"/>
    <x v="13"/>
    <n v="38.17"/>
    <n v="2.0499999999999998"/>
    <n v="54.04"/>
    <n v="19.64"/>
  </r>
  <r>
    <x v="90"/>
    <x v="90"/>
    <x v="11"/>
    <x v="16"/>
    <n v="47.74"/>
    <n v="4.7300000000000004"/>
    <n v="745.09"/>
    <n v="59.29"/>
  </r>
  <r>
    <x v="91"/>
    <x v="91"/>
    <x v="11"/>
    <x v="16"/>
    <n v="31.77"/>
    <n v="1.1200000000000001"/>
    <n v="531.01"/>
    <n v="38.799999999999997"/>
  </r>
  <r>
    <x v="92"/>
    <x v="92"/>
    <x v="11"/>
    <x v="16"/>
    <n v="35.520000000000003"/>
    <n v="1.61"/>
    <n v="526.54"/>
    <n v="40.61"/>
  </r>
  <r>
    <x v="93"/>
    <x v="93"/>
    <x v="12"/>
    <x v="2"/>
    <n v="37.049999999999997"/>
    <n v="4.5199999999999996"/>
    <n v="29.15"/>
    <n v="104.3"/>
  </r>
  <r>
    <x v="94"/>
    <x v="94"/>
    <x v="13"/>
    <x v="6"/>
    <n v="29.53"/>
    <n v="5.67"/>
    <n v="58.36"/>
    <n v="90.49"/>
  </r>
  <r>
    <x v="95"/>
    <x v="95"/>
    <x v="13"/>
    <x v="6"/>
    <n v="39.159999999999997"/>
    <n v="1.94"/>
    <n v="45.32"/>
    <n v="50.09"/>
  </r>
  <r>
    <x v="96"/>
    <x v="96"/>
    <x v="14"/>
    <x v="16"/>
    <n v="18.82"/>
    <n v="2.2799999999999998"/>
    <n v="305.01"/>
    <n v="31.82"/>
  </r>
  <r>
    <x v="97"/>
    <x v="97"/>
    <x v="15"/>
    <x v="14"/>
    <n v="37.57"/>
    <n v="1.19"/>
    <n v="62.8"/>
    <n v="58.41"/>
  </r>
  <r>
    <x v="98"/>
    <x v="98"/>
    <x v="16"/>
    <x v="16"/>
    <n v="19.62"/>
    <n v="1.36"/>
    <n v="368.37"/>
    <n v="21.64"/>
  </r>
  <r>
    <x v="99"/>
    <x v="99"/>
    <x v="17"/>
    <x v="16"/>
    <n v="15.34"/>
    <n v="2.69"/>
    <n v="269.94"/>
    <n v="36.5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1" dataOnRows="1" applyNumberFormats="0" applyBorderFormats="0" applyFontFormats="0" applyPatternFormats="0" applyAlignmentFormats="0" applyWidthHeightFormats="1" dataCaption="Data" updatedVersion="3" showMemberPropertyTips="0" useAutoFormatting="1" itemPrintTitles="1" createdVersion="1" indent="0" compact="0" compactData="0" gridDropZones="1">
  <location ref="A3:T24" firstHeaderRow="1" firstDataRow="2" firstDataCol="1"/>
  <pivotFields count="8">
    <pivotField compact="0" outline="0" subtotalTop="0" showAll="0" includeNewItemsInFilter="1">
      <items count="101">
        <item x="38"/>
        <item x="35"/>
        <item x="18"/>
        <item x="11"/>
        <item x="48"/>
        <item x="40"/>
        <item x="51"/>
        <item x="71"/>
        <item x="27"/>
        <item x="9"/>
        <item x="58"/>
        <item x="66"/>
        <item x="63"/>
        <item x="20"/>
        <item x="39"/>
        <item x="4"/>
        <item x="86"/>
        <item x="90"/>
        <item x="52"/>
        <item x="28"/>
        <item x="82"/>
        <item x="23"/>
        <item x="12"/>
        <item x="24"/>
        <item x="42"/>
        <item x="1"/>
        <item x="50"/>
        <item x="29"/>
        <item x="33"/>
        <item x="70"/>
        <item x="7"/>
        <item x="55"/>
        <item x="2"/>
        <item x="81"/>
        <item x="85"/>
        <item x="53"/>
        <item x="76"/>
        <item x="13"/>
        <item x="59"/>
        <item x="30"/>
        <item x="41"/>
        <item x="14"/>
        <item x="5"/>
        <item x="22"/>
        <item x="61"/>
        <item x="25"/>
        <item x="54"/>
        <item x="68"/>
        <item x="73"/>
        <item x="32"/>
        <item x="74"/>
        <item x="43"/>
        <item x="87"/>
        <item x="92"/>
        <item x="94"/>
        <item x="31"/>
        <item x="60"/>
        <item x="8"/>
        <item x="19"/>
        <item x="10"/>
        <item x="16"/>
        <item x="21"/>
        <item x="26"/>
        <item x="56"/>
        <item x="75"/>
        <item x="64"/>
        <item x="44"/>
        <item x="91"/>
        <item x="79"/>
        <item x="15"/>
        <item x="83"/>
        <item x="69"/>
        <item x="80"/>
        <item x="84"/>
        <item x="34"/>
        <item x="97"/>
        <item x="46"/>
        <item x="57"/>
        <item x="96"/>
        <item x="49"/>
        <item x="95"/>
        <item x="72"/>
        <item x="93"/>
        <item x="3"/>
        <item x="17"/>
        <item x="99"/>
        <item x="62"/>
        <item x="88"/>
        <item x="6"/>
        <item x="45"/>
        <item x="78"/>
        <item x="77"/>
        <item x="47"/>
        <item x="0"/>
        <item x="36"/>
        <item x="67"/>
        <item x="37"/>
        <item x="65"/>
        <item x="98"/>
        <item x="89"/>
        <item t="default"/>
      </items>
    </pivotField>
    <pivotField dataField="1" compact="0" outline="0" subtotalTop="0" showAll="0" includeNewItemsInFilter="1"/>
    <pivotField axis="axisCol" compact="0" outline="0" subtotalTop="0" showAll="0" includeNewItemsInFilter="1">
      <items count="19"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ubtotalTop="0" showAll="0" includeNewItemsInFilter="1">
      <items count="20">
        <item x="16"/>
        <item x="15"/>
        <item x="14"/>
        <item x="13"/>
        <item x="12"/>
        <item x="11"/>
        <item x="18"/>
        <item x="10"/>
        <item x="9"/>
        <item x="8"/>
        <item x="7"/>
        <item x="6"/>
        <item x="5"/>
        <item x="4"/>
        <item x="3"/>
        <item x="2"/>
        <item x="1"/>
        <item x="0"/>
        <item x="17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3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2"/>
  </colFields>
  <col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Count of Name" fld="1" subtotal="count" baseField="0" baseItem="0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1" dataOnRows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A3:B24" firstHeaderRow="2" firstDataRow="2" firstDataCol="1"/>
  <pivotFields count="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descending">
      <items count="20">
        <item x="16"/>
        <item x="15"/>
        <item x="14"/>
        <item x="13"/>
        <item x="12"/>
        <item x="11"/>
        <item x="18"/>
        <item x="10"/>
        <item x="9"/>
        <item x="8"/>
        <item x="7"/>
        <item x="6"/>
        <item x="5"/>
        <item x="4"/>
        <item x="3"/>
        <item x="2"/>
        <item x="1"/>
        <item x="0"/>
        <item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3"/>
  </rowFields>
  <rowItems count="20">
    <i>
      <x v="11"/>
    </i>
    <i>
      <x v="3"/>
    </i>
    <i>
      <x/>
    </i>
    <i>
      <x v="4"/>
    </i>
    <i>
      <x v="9"/>
    </i>
    <i>
      <x v="12"/>
    </i>
    <i>
      <x v="2"/>
    </i>
    <i>
      <x v="16"/>
    </i>
    <i>
      <x v="15"/>
    </i>
    <i>
      <x v="5"/>
    </i>
    <i>
      <x v="7"/>
    </i>
    <i>
      <x v="18"/>
    </i>
    <i>
      <x v="10"/>
    </i>
    <i>
      <x v="6"/>
    </i>
    <i>
      <x v="13"/>
    </i>
    <i>
      <x v="17"/>
    </i>
    <i>
      <x v="8"/>
    </i>
    <i>
      <x v="14"/>
    </i>
    <i>
      <x v="1"/>
    </i>
    <i t="grand">
      <x/>
    </i>
  </rowItems>
  <colItems count="1">
    <i/>
  </colItems>
  <dataFields count="1">
    <dataField name="Sum of Sales" fld="4" baseField="0" baseItem="0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11" dataOnRows="1" applyNumberFormats="0" applyBorderFormats="0" applyFontFormats="0" applyPatternFormats="0" applyAlignmentFormats="0" applyWidthHeightFormats="1" dataCaption="Data" updatedVersion="3" showMemberPropertyTips="0" useAutoFormatting="1" itemPrintTitles="1" createdVersion="1" indent="0" showHeaders="0" compact="0" compactData="0" gridDropZones="1">
  <location ref="H112:I133" firstHeaderRow="2" firstDataRow="2" firstDataCol="1"/>
  <pivotFields count="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20">
        <item x="16"/>
        <item x="15"/>
        <item x="14"/>
        <item x="13"/>
        <item x="12"/>
        <item x="11"/>
        <item x="18"/>
        <item x="10"/>
        <item x="9"/>
        <item x="8"/>
        <item x="7"/>
        <item x="6"/>
        <item x="5"/>
        <item x="4"/>
        <item x="3"/>
        <item x="2"/>
        <item x="1"/>
        <item x="0"/>
        <item x="17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3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Sum of Sales" fld="4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T24"/>
  <sheetViews>
    <sheetView workbookViewId="0">
      <selection activeCell="S32" sqref="S32"/>
    </sheetView>
  </sheetViews>
  <sheetFormatPr defaultColWidth="7.7109375" defaultRowHeight="12.75" x14ac:dyDescent="0.2"/>
  <cols>
    <col min="1" max="1" width="16.28515625" customWidth="1"/>
    <col min="2" max="2" width="6.140625" customWidth="1"/>
    <col min="3" max="20" width="5.7109375" customWidth="1"/>
    <col min="21" max="21" width="10.5703125" bestFit="1" customWidth="1"/>
  </cols>
  <sheetData>
    <row r="3" spans="1:20" x14ac:dyDescent="0.2">
      <c r="A3" s="7" t="s">
        <v>145</v>
      </c>
      <c r="B3" s="7" t="s">
        <v>138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16"/>
    </row>
    <row r="4" spans="1:20" x14ac:dyDescent="0.2">
      <c r="A4" s="7" t="s">
        <v>139</v>
      </c>
      <c r="B4" s="10" t="s">
        <v>118</v>
      </c>
      <c r="C4" s="17" t="s">
        <v>135</v>
      </c>
      <c r="D4" s="17" t="s">
        <v>105</v>
      </c>
      <c r="E4" s="17" t="s">
        <v>109</v>
      </c>
      <c r="F4" s="17" t="s">
        <v>81</v>
      </c>
      <c r="G4" s="17" t="s">
        <v>114</v>
      </c>
      <c r="H4" s="17" t="s">
        <v>31</v>
      </c>
      <c r="I4" s="17" t="s">
        <v>36</v>
      </c>
      <c r="J4" s="17" t="s">
        <v>57</v>
      </c>
      <c r="K4" s="17" t="s">
        <v>14</v>
      </c>
      <c r="L4" s="17" t="s">
        <v>23</v>
      </c>
      <c r="M4" s="17" t="s">
        <v>25</v>
      </c>
      <c r="N4" s="17" t="s">
        <v>120</v>
      </c>
      <c r="O4" s="17" t="s">
        <v>69</v>
      </c>
      <c r="P4" s="17" t="s">
        <v>60</v>
      </c>
      <c r="Q4" s="17" t="s">
        <v>21</v>
      </c>
      <c r="R4" s="17" t="s">
        <v>10</v>
      </c>
      <c r="S4" s="17" t="s">
        <v>1</v>
      </c>
      <c r="T4" s="9" t="s">
        <v>146</v>
      </c>
    </row>
    <row r="5" spans="1:20" x14ac:dyDescent="0.2">
      <c r="A5" s="10" t="s">
        <v>2</v>
      </c>
      <c r="B5" s="18">
        <v>1</v>
      </c>
      <c r="C5" s="19">
        <v>1</v>
      </c>
      <c r="D5" s="19"/>
      <c r="E5" s="19">
        <v>1</v>
      </c>
      <c r="F5" s="19"/>
      <c r="G5" s="19"/>
      <c r="H5" s="19">
        <v>3</v>
      </c>
      <c r="I5" s="19"/>
      <c r="J5" s="19">
        <v>1</v>
      </c>
      <c r="K5" s="19"/>
      <c r="L5" s="19">
        <v>1</v>
      </c>
      <c r="M5" s="19"/>
      <c r="N5" s="19"/>
      <c r="O5" s="19"/>
      <c r="P5" s="19">
        <v>2</v>
      </c>
      <c r="Q5" s="19"/>
      <c r="R5" s="19">
        <v>5</v>
      </c>
      <c r="S5" s="19">
        <v>9</v>
      </c>
      <c r="T5" s="11">
        <v>24</v>
      </c>
    </row>
    <row r="6" spans="1:20" x14ac:dyDescent="0.2">
      <c r="A6" s="12" t="s">
        <v>132</v>
      </c>
      <c r="B6" s="20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>
        <v>1</v>
      </c>
      <c r="T6" s="13">
        <v>1</v>
      </c>
    </row>
    <row r="7" spans="1:20" x14ac:dyDescent="0.2">
      <c r="A7" s="12" t="s">
        <v>4</v>
      </c>
      <c r="B7" s="20"/>
      <c r="C7" s="21"/>
      <c r="D7" s="21">
        <v>1</v>
      </c>
      <c r="E7" s="21"/>
      <c r="F7" s="21"/>
      <c r="G7" s="21"/>
      <c r="H7" s="21"/>
      <c r="I7" s="21">
        <v>1</v>
      </c>
      <c r="J7" s="21"/>
      <c r="K7" s="21"/>
      <c r="L7" s="21"/>
      <c r="M7" s="21"/>
      <c r="N7" s="21"/>
      <c r="O7" s="21"/>
      <c r="P7" s="21"/>
      <c r="Q7" s="21"/>
      <c r="R7" s="21"/>
      <c r="S7" s="21">
        <v>2</v>
      </c>
      <c r="T7" s="13">
        <v>4</v>
      </c>
    </row>
    <row r="8" spans="1:20" x14ac:dyDescent="0.2">
      <c r="A8" s="12" t="s">
        <v>15</v>
      </c>
      <c r="B8" s="20"/>
      <c r="C8" s="21"/>
      <c r="D8" s="21"/>
      <c r="E8" s="21"/>
      <c r="F8" s="21"/>
      <c r="G8" s="21"/>
      <c r="H8" s="21">
        <v>1</v>
      </c>
      <c r="I8" s="21">
        <v>3</v>
      </c>
      <c r="J8" s="21"/>
      <c r="K8" s="21">
        <v>4</v>
      </c>
      <c r="L8" s="21"/>
      <c r="M8" s="21"/>
      <c r="N8" s="21"/>
      <c r="O8" s="21"/>
      <c r="P8" s="21"/>
      <c r="Q8" s="21"/>
      <c r="R8" s="21"/>
      <c r="S8" s="21">
        <v>2</v>
      </c>
      <c r="T8" s="13">
        <v>10</v>
      </c>
    </row>
    <row r="9" spans="1:20" x14ac:dyDescent="0.2">
      <c r="A9" s="12" t="s">
        <v>17</v>
      </c>
      <c r="B9" s="20"/>
      <c r="C9" s="21"/>
      <c r="D9" s="21"/>
      <c r="E9" s="21"/>
      <c r="F9" s="21"/>
      <c r="G9" s="21"/>
      <c r="H9" s="21"/>
      <c r="I9" s="21">
        <v>1</v>
      </c>
      <c r="J9" s="21"/>
      <c r="K9" s="21"/>
      <c r="L9" s="21">
        <v>2</v>
      </c>
      <c r="M9" s="21"/>
      <c r="N9" s="21"/>
      <c r="O9" s="21"/>
      <c r="P9" s="21"/>
      <c r="Q9" s="21">
        <v>1</v>
      </c>
      <c r="R9" s="21"/>
      <c r="S9" s="21">
        <v>6</v>
      </c>
      <c r="T9" s="13">
        <v>10</v>
      </c>
    </row>
    <row r="10" spans="1:20" x14ac:dyDescent="0.2">
      <c r="A10" s="12" t="s">
        <v>41</v>
      </c>
      <c r="B10" s="20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>
        <v>2</v>
      </c>
      <c r="R10" s="21">
        <v>1</v>
      </c>
      <c r="S10" s="21">
        <v>3</v>
      </c>
      <c r="T10" s="13">
        <v>6</v>
      </c>
    </row>
    <row r="11" spans="1:20" x14ac:dyDescent="0.2">
      <c r="A11" s="12" t="s">
        <v>122</v>
      </c>
      <c r="B11" s="20"/>
      <c r="C11" s="21"/>
      <c r="D11" s="21"/>
      <c r="E11" s="21"/>
      <c r="F11" s="21"/>
      <c r="G11" s="21"/>
      <c r="H11" s="21">
        <v>1</v>
      </c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13">
        <v>1</v>
      </c>
    </row>
    <row r="12" spans="1:20" x14ac:dyDescent="0.2">
      <c r="A12" s="12" t="s">
        <v>38</v>
      </c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>
        <v>1</v>
      </c>
      <c r="N12" s="21"/>
      <c r="O12" s="21"/>
      <c r="P12" s="21"/>
      <c r="Q12" s="21">
        <v>1</v>
      </c>
      <c r="R12" s="21"/>
      <c r="S12" s="21">
        <v>1</v>
      </c>
      <c r="T12" s="13">
        <v>3</v>
      </c>
    </row>
    <row r="13" spans="1:20" x14ac:dyDescent="0.2">
      <c r="A13" s="12" t="s">
        <v>67</v>
      </c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>
        <v>1</v>
      </c>
      <c r="T13" s="13">
        <v>1</v>
      </c>
    </row>
    <row r="14" spans="1:20" x14ac:dyDescent="0.2">
      <c r="A14" s="12" t="s">
        <v>6</v>
      </c>
      <c r="B14" s="20"/>
      <c r="C14" s="21"/>
      <c r="D14" s="21"/>
      <c r="E14" s="21"/>
      <c r="F14" s="21"/>
      <c r="G14" s="21"/>
      <c r="H14" s="21">
        <v>1</v>
      </c>
      <c r="I14" s="21">
        <v>1</v>
      </c>
      <c r="J14" s="21"/>
      <c r="K14" s="21"/>
      <c r="L14" s="21">
        <v>1</v>
      </c>
      <c r="M14" s="21"/>
      <c r="N14" s="21"/>
      <c r="O14" s="21"/>
      <c r="P14" s="21"/>
      <c r="Q14" s="21"/>
      <c r="R14" s="21"/>
      <c r="S14" s="21">
        <v>4</v>
      </c>
      <c r="T14" s="13">
        <v>7</v>
      </c>
    </row>
    <row r="15" spans="1:20" x14ac:dyDescent="0.2">
      <c r="A15" s="12" t="s">
        <v>64</v>
      </c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>
        <v>4</v>
      </c>
      <c r="T15" s="13">
        <v>4</v>
      </c>
    </row>
    <row r="16" spans="1:20" x14ac:dyDescent="0.2">
      <c r="A16" s="12" t="s">
        <v>8</v>
      </c>
      <c r="B16" s="20"/>
      <c r="C16" s="21"/>
      <c r="D16" s="21"/>
      <c r="E16" s="21"/>
      <c r="F16" s="21">
        <v>2</v>
      </c>
      <c r="G16" s="21"/>
      <c r="H16" s="21">
        <v>1</v>
      </c>
      <c r="I16" s="21"/>
      <c r="J16" s="21">
        <v>1</v>
      </c>
      <c r="K16" s="21"/>
      <c r="L16" s="21"/>
      <c r="M16" s="21">
        <v>1</v>
      </c>
      <c r="N16" s="21">
        <v>1</v>
      </c>
      <c r="O16" s="21"/>
      <c r="P16" s="21"/>
      <c r="Q16" s="21"/>
      <c r="R16" s="21">
        <v>1</v>
      </c>
      <c r="S16" s="21">
        <v>3</v>
      </c>
      <c r="T16" s="13">
        <v>10</v>
      </c>
    </row>
    <row r="17" spans="1:20" x14ac:dyDescent="0.2">
      <c r="A17" s="12" t="s">
        <v>19</v>
      </c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>
        <v>2</v>
      </c>
      <c r="T17" s="13">
        <v>2</v>
      </c>
    </row>
    <row r="18" spans="1:20" x14ac:dyDescent="0.2">
      <c r="A18" s="12" t="s">
        <v>70</v>
      </c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>
        <v>1</v>
      </c>
      <c r="P18" s="21"/>
      <c r="Q18" s="21"/>
      <c r="R18" s="21"/>
      <c r="S18" s="21">
        <v>1</v>
      </c>
      <c r="T18" s="13">
        <v>2</v>
      </c>
    </row>
    <row r="19" spans="1:20" x14ac:dyDescent="0.2">
      <c r="A19" s="12" t="s">
        <v>50</v>
      </c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>
        <v>1</v>
      </c>
      <c r="T19" s="13">
        <v>1</v>
      </c>
    </row>
    <row r="20" spans="1:20" x14ac:dyDescent="0.2">
      <c r="A20" s="12" t="s">
        <v>29</v>
      </c>
      <c r="B20" s="20"/>
      <c r="C20" s="21"/>
      <c r="D20" s="21"/>
      <c r="E20" s="21"/>
      <c r="F20" s="21"/>
      <c r="G20" s="21">
        <v>1</v>
      </c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>
        <v>3</v>
      </c>
      <c r="T20" s="13">
        <v>4</v>
      </c>
    </row>
    <row r="21" spans="1:20" x14ac:dyDescent="0.2">
      <c r="A21" s="12" t="s">
        <v>44</v>
      </c>
      <c r="B21" s="20"/>
      <c r="C21" s="21"/>
      <c r="D21" s="21"/>
      <c r="E21" s="21"/>
      <c r="F21" s="21"/>
      <c r="G21" s="21"/>
      <c r="H21" s="21"/>
      <c r="I21" s="21"/>
      <c r="J21" s="21"/>
      <c r="K21" s="21">
        <v>1</v>
      </c>
      <c r="L21" s="21"/>
      <c r="M21" s="21"/>
      <c r="N21" s="21"/>
      <c r="O21" s="21"/>
      <c r="P21" s="21"/>
      <c r="Q21" s="21"/>
      <c r="R21" s="21">
        <v>1</v>
      </c>
      <c r="S21" s="21">
        <v>3</v>
      </c>
      <c r="T21" s="13">
        <v>5</v>
      </c>
    </row>
    <row r="22" spans="1:20" x14ac:dyDescent="0.2">
      <c r="A22" s="12" t="s">
        <v>97</v>
      </c>
      <c r="B22" s="20"/>
      <c r="C22" s="21"/>
      <c r="D22" s="21"/>
      <c r="E22" s="21"/>
      <c r="F22" s="21"/>
      <c r="G22" s="21"/>
      <c r="H22" s="21"/>
      <c r="I22" s="21">
        <v>1</v>
      </c>
      <c r="J22" s="21"/>
      <c r="K22" s="21"/>
      <c r="L22" s="21"/>
      <c r="M22" s="21"/>
      <c r="N22" s="21"/>
      <c r="O22" s="21"/>
      <c r="P22" s="21"/>
      <c r="Q22" s="21"/>
      <c r="R22" s="21"/>
      <c r="S22" s="21">
        <v>1</v>
      </c>
      <c r="T22" s="13">
        <v>2</v>
      </c>
    </row>
    <row r="23" spans="1:20" x14ac:dyDescent="0.2">
      <c r="A23" s="12" t="s">
        <v>92</v>
      </c>
      <c r="B23" s="20"/>
      <c r="C23" s="21"/>
      <c r="D23" s="21"/>
      <c r="E23" s="21"/>
      <c r="F23" s="21"/>
      <c r="G23" s="21"/>
      <c r="H23" s="21"/>
      <c r="I23" s="21">
        <v>1</v>
      </c>
      <c r="J23" s="21">
        <v>1</v>
      </c>
      <c r="K23" s="21">
        <v>1</v>
      </c>
      <c r="L23" s="21"/>
      <c r="M23" s="21"/>
      <c r="N23" s="21"/>
      <c r="O23" s="21"/>
      <c r="P23" s="21"/>
      <c r="Q23" s="21"/>
      <c r="R23" s="21"/>
      <c r="S23" s="21"/>
      <c r="T23" s="13">
        <v>3</v>
      </c>
    </row>
    <row r="24" spans="1:20" x14ac:dyDescent="0.2">
      <c r="A24" s="14" t="s">
        <v>146</v>
      </c>
      <c r="B24" s="22">
        <v>1</v>
      </c>
      <c r="C24" s="23">
        <v>1</v>
      </c>
      <c r="D24" s="23">
        <v>1</v>
      </c>
      <c r="E24" s="23">
        <v>1</v>
      </c>
      <c r="F24" s="23">
        <v>2</v>
      </c>
      <c r="G24" s="23">
        <v>1</v>
      </c>
      <c r="H24" s="23">
        <v>7</v>
      </c>
      <c r="I24" s="23">
        <v>8</v>
      </c>
      <c r="J24" s="23">
        <v>3</v>
      </c>
      <c r="K24" s="23">
        <v>6</v>
      </c>
      <c r="L24" s="23">
        <v>4</v>
      </c>
      <c r="M24" s="23">
        <v>2</v>
      </c>
      <c r="N24" s="23">
        <v>1</v>
      </c>
      <c r="O24" s="23">
        <v>1</v>
      </c>
      <c r="P24" s="23">
        <v>2</v>
      </c>
      <c r="Q24" s="23">
        <v>4</v>
      </c>
      <c r="R24" s="23">
        <v>8</v>
      </c>
      <c r="S24" s="23">
        <v>47</v>
      </c>
      <c r="T24" s="15">
        <v>100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12"/>
  <sheetViews>
    <sheetView workbookViewId="0">
      <selection activeCell="K9" sqref="K9"/>
    </sheetView>
  </sheetViews>
  <sheetFormatPr defaultRowHeight="12.75" x14ac:dyDescent="0.2"/>
  <sheetData>
    <row r="2" spans="1:3" x14ac:dyDescent="0.2">
      <c r="A2" s="6" t="s">
        <v>172</v>
      </c>
      <c r="B2" s="6"/>
      <c r="C2" s="6"/>
    </row>
    <row r="3" spans="1:3" x14ac:dyDescent="0.2">
      <c r="A3" s="6"/>
      <c r="B3" s="6"/>
      <c r="C3" s="6"/>
    </row>
    <row r="4" spans="1:3" x14ac:dyDescent="0.2">
      <c r="A4" s="6" t="s">
        <v>173</v>
      </c>
      <c r="B4" s="6"/>
      <c r="C4" s="6"/>
    </row>
    <row r="5" spans="1:3" x14ac:dyDescent="0.2">
      <c r="A5" s="6"/>
      <c r="B5" s="6"/>
      <c r="C5" s="6"/>
    </row>
    <row r="6" spans="1:3" x14ac:dyDescent="0.2">
      <c r="A6" s="6" t="s">
        <v>174</v>
      </c>
      <c r="B6" s="6"/>
      <c r="C6" s="6"/>
    </row>
    <row r="7" spans="1:3" x14ac:dyDescent="0.2">
      <c r="A7" s="6"/>
      <c r="B7" s="6"/>
      <c r="C7" s="6"/>
    </row>
    <row r="8" spans="1:3" x14ac:dyDescent="0.2">
      <c r="A8" s="6" t="s">
        <v>175</v>
      </c>
      <c r="B8" s="6"/>
      <c r="C8" s="6"/>
    </row>
    <row r="9" spans="1:3" x14ac:dyDescent="0.2">
      <c r="A9" s="6"/>
      <c r="B9" s="6"/>
      <c r="C9" s="6"/>
    </row>
    <row r="10" spans="1:3" x14ac:dyDescent="0.2">
      <c r="A10" s="6" t="s">
        <v>176</v>
      </c>
      <c r="B10" s="6"/>
      <c r="C10" s="6"/>
    </row>
    <row r="11" spans="1:3" x14ac:dyDescent="0.2">
      <c r="A11" s="6"/>
      <c r="B11" s="6"/>
      <c r="C11" s="6"/>
    </row>
    <row r="12" spans="1:3" x14ac:dyDescent="0.2">
      <c r="A12" s="6" t="s">
        <v>177</v>
      </c>
      <c r="B12" s="6"/>
      <c r="C12" s="6"/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4"/>
  <sheetViews>
    <sheetView workbookViewId="0">
      <selection activeCell="M29" sqref="M29"/>
    </sheetView>
  </sheetViews>
  <sheetFormatPr defaultRowHeight="12.75" x14ac:dyDescent="0.2"/>
  <cols>
    <col min="1" max="1" width="30.140625" bestFit="1" customWidth="1"/>
    <col min="2" max="2" width="8" bestFit="1" customWidth="1"/>
  </cols>
  <sheetData>
    <row r="3" spans="1:2" x14ac:dyDescent="0.2">
      <c r="A3" s="7" t="s">
        <v>167</v>
      </c>
      <c r="B3" s="9"/>
    </row>
    <row r="4" spans="1:2" x14ac:dyDescent="0.2">
      <c r="A4" s="7" t="s">
        <v>139</v>
      </c>
      <c r="B4" s="9" t="s">
        <v>30</v>
      </c>
    </row>
    <row r="5" spans="1:2" x14ac:dyDescent="0.2">
      <c r="A5" s="10" t="s">
        <v>8</v>
      </c>
      <c r="B5" s="11">
        <v>1065.21</v>
      </c>
    </row>
    <row r="6" spans="1:2" x14ac:dyDescent="0.2">
      <c r="A6" s="12" t="s">
        <v>15</v>
      </c>
      <c r="B6" s="13">
        <v>1012.84</v>
      </c>
    </row>
    <row r="7" spans="1:2" x14ac:dyDescent="0.2">
      <c r="A7" s="12" t="s">
        <v>2</v>
      </c>
      <c r="B7" s="13">
        <v>744.83</v>
      </c>
    </row>
    <row r="8" spans="1:2" x14ac:dyDescent="0.2">
      <c r="A8" s="12" t="s">
        <v>17</v>
      </c>
      <c r="B8" s="13">
        <v>461.06999999999994</v>
      </c>
    </row>
    <row r="9" spans="1:2" x14ac:dyDescent="0.2">
      <c r="A9" s="12" t="s">
        <v>6</v>
      </c>
      <c r="B9" s="13">
        <v>354.52</v>
      </c>
    </row>
    <row r="10" spans="1:2" x14ac:dyDescent="0.2">
      <c r="A10" s="12" t="s">
        <v>19</v>
      </c>
      <c r="B10" s="13">
        <v>319.22999999999996</v>
      </c>
    </row>
    <row r="11" spans="1:2" x14ac:dyDescent="0.2">
      <c r="A11" s="12" t="s">
        <v>4</v>
      </c>
      <c r="B11" s="13">
        <v>289.41000000000003</v>
      </c>
    </row>
    <row r="12" spans="1:2" x14ac:dyDescent="0.2">
      <c r="A12" s="12" t="s">
        <v>44</v>
      </c>
      <c r="B12" s="13">
        <v>251.48</v>
      </c>
    </row>
    <row r="13" spans="1:2" x14ac:dyDescent="0.2">
      <c r="A13" s="12" t="s">
        <v>29</v>
      </c>
      <c r="B13" s="13">
        <v>219.06</v>
      </c>
    </row>
    <row r="14" spans="1:2" x14ac:dyDescent="0.2">
      <c r="A14" s="12" t="s">
        <v>41</v>
      </c>
      <c r="B14" s="13">
        <v>197.26000000000002</v>
      </c>
    </row>
    <row r="15" spans="1:2" x14ac:dyDescent="0.2">
      <c r="A15" s="12" t="s">
        <v>38</v>
      </c>
      <c r="B15" s="13">
        <v>175.96</v>
      </c>
    </row>
    <row r="16" spans="1:2" x14ac:dyDescent="0.2">
      <c r="A16" s="12" t="s">
        <v>92</v>
      </c>
      <c r="B16" s="13">
        <v>126.28999999999999</v>
      </c>
    </row>
    <row r="17" spans="1:2" x14ac:dyDescent="0.2">
      <c r="A17" s="12" t="s">
        <v>64</v>
      </c>
      <c r="B17" s="13">
        <v>110.72</v>
      </c>
    </row>
    <row r="18" spans="1:2" x14ac:dyDescent="0.2">
      <c r="A18" s="12" t="s">
        <v>122</v>
      </c>
      <c r="B18" s="13">
        <v>96.94</v>
      </c>
    </row>
    <row r="19" spans="1:2" x14ac:dyDescent="0.2">
      <c r="A19" s="12" t="s">
        <v>70</v>
      </c>
      <c r="B19" s="13">
        <v>80.36</v>
      </c>
    </row>
    <row r="20" spans="1:2" x14ac:dyDescent="0.2">
      <c r="A20" s="12" t="s">
        <v>97</v>
      </c>
      <c r="B20" s="13">
        <v>74.039999999999992</v>
      </c>
    </row>
    <row r="21" spans="1:2" x14ac:dyDescent="0.2">
      <c r="A21" s="12" t="s">
        <v>67</v>
      </c>
      <c r="B21" s="13">
        <v>46.99</v>
      </c>
    </row>
    <row r="22" spans="1:2" x14ac:dyDescent="0.2">
      <c r="A22" s="12" t="s">
        <v>50</v>
      </c>
      <c r="B22" s="13">
        <v>34.270000000000003</v>
      </c>
    </row>
    <row r="23" spans="1:2" x14ac:dyDescent="0.2">
      <c r="A23" s="12" t="s">
        <v>132</v>
      </c>
      <c r="B23" s="13">
        <v>32.630000000000003</v>
      </c>
    </row>
    <row r="24" spans="1:2" x14ac:dyDescent="0.2">
      <c r="A24" s="14" t="s">
        <v>146</v>
      </c>
      <c r="B24" s="15">
        <v>5693.1099999999988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Q186"/>
  <sheetViews>
    <sheetView tabSelected="1" topLeftCell="A118" workbookViewId="0">
      <selection activeCell="L141" sqref="L141"/>
    </sheetView>
  </sheetViews>
  <sheetFormatPr defaultRowHeight="12.75" x14ac:dyDescent="0.2"/>
  <cols>
    <col min="1" max="1" width="11.28515625" customWidth="1"/>
    <col min="2" max="2" width="17.28515625" customWidth="1"/>
    <col min="3" max="3" width="16.42578125" customWidth="1"/>
    <col min="4" max="4" width="18" customWidth="1"/>
    <col min="5" max="5" width="6.5703125" bestFit="1" customWidth="1"/>
    <col min="6" max="6" width="6.7109375" bestFit="1" customWidth="1"/>
    <col min="7" max="7" width="8.140625" bestFit="1" customWidth="1"/>
    <col min="8" max="8" width="30.140625" bestFit="1" customWidth="1"/>
    <col min="9" max="9" width="8" customWidth="1"/>
  </cols>
  <sheetData>
    <row r="2" spans="1:17" x14ac:dyDescent="0.2">
      <c r="B2" s="6"/>
    </row>
    <row r="4" spans="1:17" ht="25.5" x14ac:dyDescent="0.2">
      <c r="A4" s="5" t="s">
        <v>140</v>
      </c>
      <c r="B4" s="5" t="s">
        <v>137</v>
      </c>
      <c r="C4" s="5" t="s">
        <v>138</v>
      </c>
      <c r="D4" s="5" t="s">
        <v>139</v>
      </c>
      <c r="E4" s="5" t="s">
        <v>141</v>
      </c>
      <c r="F4" s="5" t="s">
        <v>142</v>
      </c>
      <c r="G4" s="5" t="s">
        <v>143</v>
      </c>
      <c r="H4" s="5" t="s">
        <v>144</v>
      </c>
      <c r="I4" s="5" t="s">
        <v>161</v>
      </c>
      <c r="J4" s="5" t="s">
        <v>162</v>
      </c>
      <c r="K4" s="5" t="s">
        <v>163</v>
      </c>
      <c r="L4" s="5" t="s">
        <v>164</v>
      </c>
      <c r="M4" s="5" t="s">
        <v>165</v>
      </c>
      <c r="N4" s="5" t="s">
        <v>157</v>
      </c>
      <c r="O4" s="5" t="s">
        <v>158</v>
      </c>
      <c r="P4" s="5" t="s">
        <v>159</v>
      </c>
      <c r="Q4" s="5" t="s">
        <v>160</v>
      </c>
    </row>
    <row r="5" spans="1:17" ht="25.5" x14ac:dyDescent="0.2">
      <c r="A5" s="2">
        <v>94</v>
      </c>
      <c r="B5" s="3" t="s">
        <v>128</v>
      </c>
      <c r="C5" s="3" t="s">
        <v>1</v>
      </c>
      <c r="D5" s="3" t="s">
        <v>97</v>
      </c>
      <c r="E5" s="1">
        <v>32.81</v>
      </c>
      <c r="F5" s="1">
        <v>3.54</v>
      </c>
      <c r="G5" s="1">
        <v>28.37</v>
      </c>
      <c r="H5" s="1">
        <v>79.62</v>
      </c>
      <c r="I5">
        <f>IF(E5 &gt;=$N$5,1,0)</f>
        <v>0</v>
      </c>
      <c r="J5">
        <f>IF(F5 &gt;=$O$5,1,0)</f>
        <v>0</v>
      </c>
      <c r="K5">
        <f>IF(G5 &gt;=$P$5,1,0)</f>
        <v>0</v>
      </c>
      <c r="L5">
        <f>IF(H5 &gt;=$Q$5,1,0)</f>
        <v>0</v>
      </c>
      <c r="M5">
        <f>SUM(I5:L5)</f>
        <v>0</v>
      </c>
      <c r="N5">
        <f>$B$118 * MAX(E5:E104)</f>
        <v>179.43099999999998</v>
      </c>
      <c r="O5">
        <f>$B$118 * MAX(F5:F104)</f>
        <v>14.671999999999999</v>
      </c>
      <c r="P5">
        <f>$B$118 * MAX(G5:G104)</f>
        <v>884.82099999999991</v>
      </c>
      <c r="Q5">
        <f>$B$118 * MAX(H5:H104)</f>
        <v>229.97800000000001</v>
      </c>
    </row>
    <row r="6" spans="1:17" ht="25.5" x14ac:dyDescent="0.2">
      <c r="A6" s="2">
        <v>26</v>
      </c>
      <c r="B6" s="3" t="s">
        <v>43</v>
      </c>
      <c r="C6" s="3" t="s">
        <v>1</v>
      </c>
      <c r="D6" s="3" t="s">
        <v>44</v>
      </c>
      <c r="E6" s="1">
        <v>67.75</v>
      </c>
      <c r="F6" s="1">
        <v>2.57</v>
      </c>
      <c r="G6" s="1">
        <v>165.97</v>
      </c>
      <c r="H6" s="1">
        <v>103.97</v>
      </c>
      <c r="I6">
        <f t="shared" ref="I6:I69" si="0">IF(E6 &gt;=$N$5,1,0)</f>
        <v>0</v>
      </c>
      <c r="J6">
        <f t="shared" ref="J6:J69" si="1">IF(F6 &gt;=$O$5,1,0)</f>
        <v>0</v>
      </c>
      <c r="K6">
        <f t="shared" ref="K6:K69" si="2">IF(G6 &gt;=$P$5,1,0)</f>
        <v>0</v>
      </c>
      <c r="L6">
        <f t="shared" ref="L6:L69" si="3">IF(H6 &gt;=$Q$5,1,0)</f>
        <v>0</v>
      </c>
      <c r="M6">
        <f t="shared" ref="M6:M69" si="4">SUM(I6:L6)</f>
        <v>0</v>
      </c>
    </row>
    <row r="7" spans="1:17" ht="25.5" x14ac:dyDescent="0.2">
      <c r="A7" s="2">
        <v>33</v>
      </c>
      <c r="B7" s="3" t="s">
        <v>52</v>
      </c>
      <c r="C7" s="3" t="s">
        <v>1</v>
      </c>
      <c r="D7" s="3" t="s">
        <v>44</v>
      </c>
      <c r="E7" s="1">
        <v>39.159999999999997</v>
      </c>
      <c r="F7" s="1">
        <v>5.97</v>
      </c>
      <c r="G7" s="1">
        <v>100.17</v>
      </c>
      <c r="H7" s="1">
        <v>82.93</v>
      </c>
      <c r="I7">
        <f t="shared" si="0"/>
        <v>0</v>
      </c>
      <c r="J7">
        <f t="shared" si="1"/>
        <v>0</v>
      </c>
      <c r="K7">
        <f t="shared" si="2"/>
        <v>0</v>
      </c>
      <c r="L7">
        <f t="shared" si="3"/>
        <v>0</v>
      </c>
      <c r="M7">
        <f t="shared" si="4"/>
        <v>0</v>
      </c>
    </row>
    <row r="8" spans="1:17" ht="25.5" x14ac:dyDescent="0.2">
      <c r="A8" s="2">
        <v>84</v>
      </c>
      <c r="B8" s="3" t="s">
        <v>115</v>
      </c>
      <c r="C8" s="3" t="s">
        <v>1</v>
      </c>
      <c r="D8" s="3" t="s">
        <v>44</v>
      </c>
      <c r="E8" s="1">
        <v>22.58</v>
      </c>
      <c r="F8" s="1">
        <v>3.59</v>
      </c>
      <c r="G8" s="1">
        <v>49.62</v>
      </c>
      <c r="H8" s="1">
        <v>54.08</v>
      </c>
      <c r="I8">
        <f t="shared" si="0"/>
        <v>0</v>
      </c>
      <c r="J8">
        <f t="shared" si="1"/>
        <v>0</v>
      </c>
      <c r="K8">
        <f t="shared" si="2"/>
        <v>0</v>
      </c>
      <c r="L8">
        <f t="shared" si="3"/>
        <v>0</v>
      </c>
      <c r="M8">
        <f t="shared" si="4"/>
        <v>0</v>
      </c>
    </row>
    <row r="9" spans="1:17" ht="38.25" x14ac:dyDescent="0.2">
      <c r="A9" s="2">
        <v>16</v>
      </c>
      <c r="B9" s="3" t="s">
        <v>28</v>
      </c>
      <c r="C9" s="3" t="s">
        <v>1</v>
      </c>
      <c r="D9" s="3" t="s">
        <v>29</v>
      </c>
      <c r="E9" s="1">
        <v>89.13</v>
      </c>
      <c r="F9" s="1">
        <v>7.58</v>
      </c>
      <c r="G9" s="1">
        <v>104.46</v>
      </c>
      <c r="H9" s="1">
        <v>171.54</v>
      </c>
      <c r="I9">
        <f t="shared" si="0"/>
        <v>0</v>
      </c>
      <c r="J9">
        <f t="shared" si="1"/>
        <v>0</v>
      </c>
      <c r="K9">
        <f t="shared" si="2"/>
        <v>0</v>
      </c>
      <c r="L9">
        <f t="shared" si="3"/>
        <v>0</v>
      </c>
      <c r="M9">
        <f t="shared" si="4"/>
        <v>0</v>
      </c>
      <c r="O9" s="27" t="s">
        <v>166</v>
      </c>
    </row>
    <row r="10" spans="1:17" ht="38.25" x14ac:dyDescent="0.2">
      <c r="A10" s="2">
        <v>43</v>
      </c>
      <c r="B10" s="3" t="s">
        <v>65</v>
      </c>
      <c r="C10" s="3" t="s">
        <v>1</v>
      </c>
      <c r="D10" s="3" t="s">
        <v>29</v>
      </c>
      <c r="E10" s="1">
        <v>73.06</v>
      </c>
      <c r="F10" s="1">
        <v>2.54</v>
      </c>
      <c r="G10" s="1">
        <v>74.709999999999994</v>
      </c>
      <c r="H10" s="1">
        <v>70.2</v>
      </c>
      <c r="I10">
        <f t="shared" si="0"/>
        <v>0</v>
      </c>
      <c r="J10">
        <f t="shared" si="1"/>
        <v>0</v>
      </c>
      <c r="K10">
        <f t="shared" si="2"/>
        <v>0</v>
      </c>
      <c r="L10">
        <f t="shared" si="3"/>
        <v>0</v>
      </c>
      <c r="M10">
        <f t="shared" si="4"/>
        <v>0</v>
      </c>
    </row>
    <row r="11" spans="1:17" ht="38.25" x14ac:dyDescent="0.2">
      <c r="A11" s="2">
        <v>89</v>
      </c>
      <c r="B11" s="3" t="s">
        <v>123</v>
      </c>
      <c r="C11" s="3" t="s">
        <v>1</v>
      </c>
      <c r="D11" s="3" t="s">
        <v>29</v>
      </c>
      <c r="E11" s="1">
        <v>19.82</v>
      </c>
      <c r="F11" s="1">
        <v>4.3499999999999996</v>
      </c>
      <c r="G11" s="1">
        <v>36.590000000000003</v>
      </c>
      <c r="H11" s="1">
        <v>166.09</v>
      </c>
      <c r="I11">
        <f t="shared" si="0"/>
        <v>0</v>
      </c>
      <c r="J11">
        <f t="shared" si="1"/>
        <v>0</v>
      </c>
      <c r="K11">
        <f t="shared" si="2"/>
        <v>0</v>
      </c>
      <c r="L11">
        <f t="shared" si="3"/>
        <v>0</v>
      </c>
      <c r="M11">
        <f t="shared" si="4"/>
        <v>0</v>
      </c>
    </row>
    <row r="12" spans="1:17" x14ac:dyDescent="0.2">
      <c r="A12" s="2">
        <v>31</v>
      </c>
      <c r="B12" s="3" t="s">
        <v>49</v>
      </c>
      <c r="C12" s="3" t="s">
        <v>1</v>
      </c>
      <c r="D12" s="3" t="s">
        <v>50</v>
      </c>
      <c r="E12" s="1">
        <v>34.270000000000003</v>
      </c>
      <c r="F12" s="1">
        <v>8.8800000000000008</v>
      </c>
      <c r="G12" s="1">
        <v>85.94</v>
      </c>
      <c r="H12" s="1">
        <v>287.02</v>
      </c>
      <c r="I12">
        <f t="shared" si="0"/>
        <v>0</v>
      </c>
      <c r="J12">
        <f t="shared" si="1"/>
        <v>0</v>
      </c>
      <c r="K12">
        <f t="shared" si="2"/>
        <v>0</v>
      </c>
      <c r="L12">
        <f t="shared" si="3"/>
        <v>1</v>
      </c>
      <c r="M12">
        <f t="shared" si="4"/>
        <v>1</v>
      </c>
    </row>
    <row r="13" spans="1:17" x14ac:dyDescent="0.2">
      <c r="A13" s="2">
        <v>58</v>
      </c>
      <c r="B13" s="3" t="s">
        <v>84</v>
      </c>
      <c r="C13" s="3" t="s">
        <v>1</v>
      </c>
      <c r="D13" s="3" t="s">
        <v>70</v>
      </c>
      <c r="E13" s="1">
        <v>30.14</v>
      </c>
      <c r="F13" s="1">
        <v>5.64</v>
      </c>
      <c r="G13" s="1">
        <v>47.14</v>
      </c>
      <c r="H13" s="1">
        <v>196.87</v>
      </c>
      <c r="I13">
        <f t="shared" si="0"/>
        <v>0</v>
      </c>
      <c r="J13">
        <f t="shared" si="1"/>
        <v>0</v>
      </c>
      <c r="K13">
        <f t="shared" si="2"/>
        <v>0</v>
      </c>
      <c r="L13">
        <f t="shared" si="3"/>
        <v>0</v>
      </c>
      <c r="M13">
        <f t="shared" si="4"/>
        <v>0</v>
      </c>
    </row>
    <row r="14" spans="1:17" x14ac:dyDescent="0.2">
      <c r="A14" s="2">
        <v>10</v>
      </c>
      <c r="B14" s="3" t="s">
        <v>18</v>
      </c>
      <c r="C14" s="3" t="s">
        <v>1</v>
      </c>
      <c r="D14" s="3" t="s">
        <v>19</v>
      </c>
      <c r="E14" s="1">
        <v>256.33</v>
      </c>
      <c r="F14" s="1">
        <v>9.0500000000000007</v>
      </c>
      <c r="G14" s="1">
        <v>104.91</v>
      </c>
      <c r="H14" s="1">
        <v>243.74</v>
      </c>
      <c r="I14">
        <f t="shared" si="0"/>
        <v>1</v>
      </c>
      <c r="J14">
        <f t="shared" si="1"/>
        <v>0</v>
      </c>
      <c r="K14">
        <f t="shared" si="2"/>
        <v>0</v>
      </c>
      <c r="L14">
        <f t="shared" si="3"/>
        <v>1</v>
      </c>
      <c r="M14">
        <f t="shared" si="4"/>
        <v>2</v>
      </c>
    </row>
    <row r="15" spans="1:17" x14ac:dyDescent="0.2">
      <c r="A15" s="2">
        <v>60</v>
      </c>
      <c r="B15" s="3" t="s">
        <v>86</v>
      </c>
      <c r="C15" s="3" t="s">
        <v>1</v>
      </c>
      <c r="D15" s="3" t="s">
        <v>19</v>
      </c>
      <c r="E15" s="1">
        <v>62.9</v>
      </c>
      <c r="F15" s="1">
        <v>4.04</v>
      </c>
      <c r="G15" s="1">
        <v>35.369999999999997</v>
      </c>
      <c r="H15" s="1">
        <v>82.29</v>
      </c>
      <c r="I15">
        <f t="shared" si="0"/>
        <v>0</v>
      </c>
      <c r="J15">
        <f t="shared" si="1"/>
        <v>0</v>
      </c>
      <c r="K15">
        <f t="shared" si="2"/>
        <v>0</v>
      </c>
      <c r="L15">
        <f t="shared" si="3"/>
        <v>0</v>
      </c>
      <c r="M15">
        <f t="shared" si="4"/>
        <v>0</v>
      </c>
    </row>
    <row r="16" spans="1:17" ht="25.5" x14ac:dyDescent="0.2">
      <c r="A16" s="2">
        <v>4</v>
      </c>
      <c r="B16" s="3" t="s">
        <v>7</v>
      </c>
      <c r="C16" s="3" t="s">
        <v>1</v>
      </c>
      <c r="D16" s="3" t="s">
        <v>8</v>
      </c>
      <c r="E16" s="1">
        <v>222.88</v>
      </c>
      <c r="F16" s="1">
        <v>20.96</v>
      </c>
      <c r="G16" s="1">
        <v>166.99</v>
      </c>
      <c r="H16" s="1">
        <v>277.02</v>
      </c>
      <c r="I16">
        <f t="shared" si="0"/>
        <v>1</v>
      </c>
      <c r="J16">
        <f t="shared" si="1"/>
        <v>1</v>
      </c>
      <c r="K16">
        <f t="shared" si="2"/>
        <v>0</v>
      </c>
      <c r="L16">
        <f t="shared" si="3"/>
        <v>1</v>
      </c>
      <c r="M16">
        <f t="shared" si="4"/>
        <v>3</v>
      </c>
    </row>
    <row r="17" spans="1:13" ht="25.5" x14ac:dyDescent="0.2">
      <c r="A17" s="2">
        <v>23</v>
      </c>
      <c r="B17" s="3" t="s">
        <v>39</v>
      </c>
      <c r="C17" s="3" t="s">
        <v>1</v>
      </c>
      <c r="D17" s="3" t="s">
        <v>8</v>
      </c>
      <c r="E17" s="1">
        <v>112.94</v>
      </c>
      <c r="F17" s="1">
        <v>7.43</v>
      </c>
      <c r="G17" s="1">
        <v>82.36</v>
      </c>
      <c r="H17" s="1">
        <v>92.49</v>
      </c>
      <c r="I17">
        <f t="shared" si="0"/>
        <v>0</v>
      </c>
      <c r="J17">
        <f t="shared" si="1"/>
        <v>0</v>
      </c>
      <c r="K17">
        <f t="shared" si="2"/>
        <v>0</v>
      </c>
      <c r="L17">
        <f t="shared" si="3"/>
        <v>0</v>
      </c>
      <c r="M17">
        <f t="shared" si="4"/>
        <v>0</v>
      </c>
    </row>
    <row r="18" spans="1:13" ht="25.5" x14ac:dyDescent="0.2">
      <c r="A18" s="2">
        <v>38</v>
      </c>
      <c r="B18" s="3" t="s">
        <v>58</v>
      </c>
      <c r="C18" s="3" t="s">
        <v>1</v>
      </c>
      <c r="D18" s="3" t="s">
        <v>8</v>
      </c>
      <c r="E18" s="1">
        <v>90.49</v>
      </c>
      <c r="F18" s="1">
        <v>4.83</v>
      </c>
      <c r="G18" s="1">
        <v>81.95</v>
      </c>
      <c r="H18" s="1">
        <v>46.72</v>
      </c>
      <c r="I18">
        <f t="shared" si="0"/>
        <v>0</v>
      </c>
      <c r="J18">
        <f t="shared" si="1"/>
        <v>0</v>
      </c>
      <c r="K18">
        <f t="shared" si="2"/>
        <v>0</v>
      </c>
      <c r="L18">
        <f t="shared" si="3"/>
        <v>0</v>
      </c>
      <c r="M18">
        <f t="shared" si="4"/>
        <v>0</v>
      </c>
    </row>
    <row r="19" spans="1:13" x14ac:dyDescent="0.2">
      <c r="A19" s="2">
        <v>42</v>
      </c>
      <c r="B19" s="3" t="s">
        <v>63</v>
      </c>
      <c r="C19" s="3" t="s">
        <v>1</v>
      </c>
      <c r="D19" s="3" t="s">
        <v>64</v>
      </c>
      <c r="E19" s="1">
        <v>38.08</v>
      </c>
      <c r="F19" s="1">
        <v>2.65</v>
      </c>
      <c r="G19" s="1">
        <v>121.78</v>
      </c>
      <c r="H19" s="1">
        <v>77.95</v>
      </c>
      <c r="I19">
        <f t="shared" si="0"/>
        <v>0</v>
      </c>
      <c r="J19">
        <f t="shared" si="1"/>
        <v>0</v>
      </c>
      <c r="K19">
        <f t="shared" si="2"/>
        <v>0</v>
      </c>
      <c r="L19">
        <f t="shared" si="3"/>
        <v>0</v>
      </c>
      <c r="M19">
        <f t="shared" si="4"/>
        <v>0</v>
      </c>
    </row>
    <row r="20" spans="1:13" x14ac:dyDescent="0.2">
      <c r="A20" s="2">
        <v>70</v>
      </c>
      <c r="B20" s="3" t="s">
        <v>98</v>
      </c>
      <c r="C20" s="3" t="s">
        <v>1</v>
      </c>
      <c r="D20" s="3" t="s">
        <v>64</v>
      </c>
      <c r="E20" s="1">
        <v>18.350000000000001</v>
      </c>
      <c r="F20" s="1">
        <v>3.24</v>
      </c>
      <c r="G20" s="1">
        <v>109.16</v>
      </c>
      <c r="H20" s="1">
        <v>67.3</v>
      </c>
      <c r="I20">
        <f t="shared" si="0"/>
        <v>0</v>
      </c>
      <c r="J20">
        <f t="shared" si="1"/>
        <v>0</v>
      </c>
      <c r="K20">
        <f t="shared" si="2"/>
        <v>0</v>
      </c>
      <c r="L20">
        <f t="shared" si="3"/>
        <v>0</v>
      </c>
      <c r="M20">
        <f t="shared" si="4"/>
        <v>0</v>
      </c>
    </row>
    <row r="21" spans="1:13" x14ac:dyDescent="0.2">
      <c r="A21" s="2">
        <v>61</v>
      </c>
      <c r="B21" s="3" t="s">
        <v>87</v>
      </c>
      <c r="C21" s="3" t="s">
        <v>1</v>
      </c>
      <c r="D21" s="3" t="s">
        <v>64</v>
      </c>
      <c r="E21" s="1">
        <v>25.85</v>
      </c>
      <c r="F21" s="1">
        <v>2.4700000000000002</v>
      </c>
      <c r="G21" s="1">
        <v>90.94</v>
      </c>
      <c r="H21" s="1">
        <v>68.66</v>
      </c>
      <c r="I21">
        <f t="shared" si="0"/>
        <v>0</v>
      </c>
      <c r="J21">
        <f t="shared" si="1"/>
        <v>0</v>
      </c>
      <c r="K21">
        <f t="shared" si="2"/>
        <v>0</v>
      </c>
      <c r="L21">
        <f t="shared" si="3"/>
        <v>0</v>
      </c>
      <c r="M21">
        <f t="shared" si="4"/>
        <v>0</v>
      </c>
    </row>
    <row r="22" spans="1:13" x14ac:dyDescent="0.2">
      <c r="A22" s="2">
        <v>85</v>
      </c>
      <c r="B22" s="3" t="s">
        <v>116</v>
      </c>
      <c r="C22" s="3" t="s">
        <v>1</v>
      </c>
      <c r="D22" s="3" t="s">
        <v>64</v>
      </c>
      <c r="E22" s="1">
        <v>28.44</v>
      </c>
      <c r="F22" s="1">
        <v>1.92</v>
      </c>
      <c r="G22" s="1">
        <v>51.52</v>
      </c>
      <c r="H22" s="1">
        <v>55.06</v>
      </c>
      <c r="I22">
        <f t="shared" si="0"/>
        <v>0</v>
      </c>
      <c r="J22">
        <f t="shared" si="1"/>
        <v>0</v>
      </c>
      <c r="K22">
        <f t="shared" si="2"/>
        <v>0</v>
      </c>
      <c r="L22">
        <f t="shared" si="3"/>
        <v>0</v>
      </c>
      <c r="M22">
        <f t="shared" si="4"/>
        <v>0</v>
      </c>
    </row>
    <row r="23" spans="1:13" ht="25.5" x14ac:dyDescent="0.2">
      <c r="A23" s="2">
        <v>3</v>
      </c>
      <c r="B23" s="3" t="s">
        <v>5</v>
      </c>
      <c r="C23" s="3" t="s">
        <v>1</v>
      </c>
      <c r="D23" s="3" t="s">
        <v>6</v>
      </c>
      <c r="E23" s="1">
        <v>76.66</v>
      </c>
      <c r="F23" s="1">
        <v>6.46</v>
      </c>
      <c r="G23" s="1">
        <v>647.66</v>
      </c>
      <c r="H23" s="1">
        <v>194.87</v>
      </c>
      <c r="I23">
        <f t="shared" si="0"/>
        <v>0</v>
      </c>
      <c r="J23">
        <f t="shared" si="1"/>
        <v>0</v>
      </c>
      <c r="K23">
        <f t="shared" si="2"/>
        <v>0</v>
      </c>
      <c r="L23">
        <f t="shared" si="3"/>
        <v>0</v>
      </c>
      <c r="M23">
        <f t="shared" si="4"/>
        <v>0</v>
      </c>
    </row>
    <row r="24" spans="1:13" x14ac:dyDescent="0.2">
      <c r="A24" s="2">
        <v>59</v>
      </c>
      <c r="B24" s="3" t="s">
        <v>85</v>
      </c>
      <c r="C24" s="3" t="s">
        <v>1</v>
      </c>
      <c r="D24" s="3" t="s">
        <v>6</v>
      </c>
      <c r="E24" s="1">
        <v>35.79</v>
      </c>
      <c r="F24" s="1">
        <v>2.2400000000000002</v>
      </c>
      <c r="G24" s="1">
        <v>326.83999999999997</v>
      </c>
      <c r="H24" s="1">
        <v>26.34</v>
      </c>
      <c r="I24">
        <f t="shared" si="0"/>
        <v>0</v>
      </c>
      <c r="J24">
        <f t="shared" si="1"/>
        <v>0</v>
      </c>
      <c r="K24">
        <f t="shared" si="2"/>
        <v>0</v>
      </c>
      <c r="L24">
        <f t="shared" si="3"/>
        <v>0</v>
      </c>
      <c r="M24">
        <f t="shared" si="4"/>
        <v>0</v>
      </c>
    </row>
    <row r="25" spans="1:13" ht="25.5" x14ac:dyDescent="0.2">
      <c r="A25" s="2">
        <v>14</v>
      </c>
      <c r="B25" s="3" t="s">
        <v>26</v>
      </c>
      <c r="C25" s="3" t="s">
        <v>1</v>
      </c>
      <c r="D25" s="3" t="s">
        <v>6</v>
      </c>
      <c r="E25" s="1">
        <v>56.22</v>
      </c>
      <c r="F25" s="1">
        <v>6.95</v>
      </c>
      <c r="G25" s="1">
        <v>172.24</v>
      </c>
      <c r="H25" s="1">
        <v>141.13999999999999</v>
      </c>
      <c r="I25">
        <f t="shared" si="0"/>
        <v>0</v>
      </c>
      <c r="J25">
        <f t="shared" si="1"/>
        <v>0</v>
      </c>
      <c r="K25">
        <f t="shared" si="2"/>
        <v>0</v>
      </c>
      <c r="L25">
        <f t="shared" si="3"/>
        <v>0</v>
      </c>
      <c r="M25">
        <f t="shared" si="4"/>
        <v>0</v>
      </c>
    </row>
    <row r="26" spans="1:13" x14ac:dyDescent="0.2">
      <c r="A26" s="2">
        <v>62</v>
      </c>
      <c r="B26" s="3" t="s">
        <v>88</v>
      </c>
      <c r="C26" s="3" t="s">
        <v>1</v>
      </c>
      <c r="D26" s="3" t="s">
        <v>6</v>
      </c>
      <c r="E26" s="1">
        <v>32.15</v>
      </c>
      <c r="F26" s="1">
        <v>2.73</v>
      </c>
      <c r="G26" s="1">
        <v>134.13999999999999</v>
      </c>
      <c r="H26" s="1">
        <v>32.9</v>
      </c>
      <c r="I26">
        <f t="shared" si="0"/>
        <v>0</v>
      </c>
      <c r="J26">
        <f t="shared" si="1"/>
        <v>0</v>
      </c>
      <c r="K26">
        <f t="shared" si="2"/>
        <v>0</v>
      </c>
      <c r="L26">
        <f t="shared" si="3"/>
        <v>0</v>
      </c>
      <c r="M26">
        <f t="shared" si="4"/>
        <v>0</v>
      </c>
    </row>
    <row r="27" spans="1:13" ht="25.5" x14ac:dyDescent="0.2">
      <c r="A27" s="2">
        <v>44</v>
      </c>
      <c r="B27" s="3" t="s">
        <v>66</v>
      </c>
      <c r="C27" s="3" t="s">
        <v>1</v>
      </c>
      <c r="D27" s="3" t="s">
        <v>67</v>
      </c>
      <c r="E27" s="1">
        <v>46.99</v>
      </c>
      <c r="F27" s="1">
        <v>5.81</v>
      </c>
      <c r="G27" s="1">
        <v>53.86</v>
      </c>
      <c r="H27" s="1">
        <v>131.88999999999999</v>
      </c>
      <c r="I27">
        <f t="shared" si="0"/>
        <v>0</v>
      </c>
      <c r="J27">
        <f t="shared" si="1"/>
        <v>0</v>
      </c>
      <c r="K27">
        <f t="shared" si="2"/>
        <v>0</v>
      </c>
      <c r="L27">
        <f t="shared" si="3"/>
        <v>0</v>
      </c>
      <c r="M27">
        <f t="shared" si="4"/>
        <v>0</v>
      </c>
    </row>
    <row r="28" spans="1:13" ht="25.5" x14ac:dyDescent="0.2">
      <c r="A28" s="2">
        <v>22</v>
      </c>
      <c r="B28" s="3" t="s">
        <v>37</v>
      </c>
      <c r="C28" s="3" t="s">
        <v>1</v>
      </c>
      <c r="D28" s="3" t="s">
        <v>38</v>
      </c>
      <c r="E28" s="1">
        <v>60.7</v>
      </c>
      <c r="F28" s="1">
        <v>9.1999999999999993</v>
      </c>
      <c r="G28" s="1">
        <v>96.18</v>
      </c>
      <c r="H28" s="1">
        <v>111.02</v>
      </c>
      <c r="I28">
        <f t="shared" si="0"/>
        <v>0</v>
      </c>
      <c r="J28">
        <f t="shared" si="1"/>
        <v>0</v>
      </c>
      <c r="K28">
        <f t="shared" si="2"/>
        <v>0</v>
      </c>
      <c r="L28">
        <f t="shared" si="3"/>
        <v>0</v>
      </c>
      <c r="M28">
        <f t="shared" si="4"/>
        <v>0</v>
      </c>
    </row>
    <row r="29" spans="1:13" ht="25.5" x14ac:dyDescent="0.2">
      <c r="A29" s="2">
        <v>24</v>
      </c>
      <c r="B29" s="3" t="s">
        <v>40</v>
      </c>
      <c r="C29" s="3" t="s">
        <v>1</v>
      </c>
      <c r="D29" s="3" t="s">
        <v>41</v>
      </c>
      <c r="E29" s="1">
        <v>40.36</v>
      </c>
      <c r="F29" s="1">
        <v>6.2</v>
      </c>
      <c r="G29" s="1">
        <v>120.06</v>
      </c>
      <c r="H29" s="1">
        <v>285.27</v>
      </c>
      <c r="I29">
        <f t="shared" si="0"/>
        <v>0</v>
      </c>
      <c r="J29">
        <f t="shared" si="1"/>
        <v>0</v>
      </c>
      <c r="K29">
        <f t="shared" si="2"/>
        <v>0</v>
      </c>
      <c r="L29">
        <f t="shared" si="3"/>
        <v>1</v>
      </c>
      <c r="M29">
        <f t="shared" si="4"/>
        <v>1</v>
      </c>
    </row>
    <row r="30" spans="1:13" ht="25.5" x14ac:dyDescent="0.2">
      <c r="A30" s="2">
        <v>46</v>
      </c>
      <c r="B30" s="3" t="s">
        <v>71</v>
      </c>
      <c r="C30" s="3" t="s">
        <v>1</v>
      </c>
      <c r="D30" s="3" t="s">
        <v>41</v>
      </c>
      <c r="E30" s="1">
        <v>40.01</v>
      </c>
      <c r="F30" s="1">
        <v>6.74</v>
      </c>
      <c r="G30" s="1">
        <v>46.66</v>
      </c>
      <c r="H30" s="1">
        <v>160.96</v>
      </c>
      <c r="I30">
        <f t="shared" si="0"/>
        <v>0</v>
      </c>
      <c r="J30">
        <f t="shared" si="1"/>
        <v>0</v>
      </c>
      <c r="K30">
        <f t="shared" si="2"/>
        <v>0</v>
      </c>
      <c r="L30">
        <f t="shared" si="3"/>
        <v>0</v>
      </c>
      <c r="M30">
        <f t="shared" si="4"/>
        <v>0</v>
      </c>
    </row>
    <row r="31" spans="1:13" ht="25.5" x14ac:dyDescent="0.2">
      <c r="A31" s="2">
        <v>63</v>
      </c>
      <c r="B31" s="3" t="s">
        <v>89</v>
      </c>
      <c r="C31" s="3" t="s">
        <v>1</v>
      </c>
      <c r="D31" s="3" t="s">
        <v>41</v>
      </c>
      <c r="E31" s="1">
        <v>30.78</v>
      </c>
      <c r="F31" s="1">
        <v>7.33</v>
      </c>
      <c r="G31" s="1">
        <v>42.59</v>
      </c>
      <c r="H31" s="1">
        <v>108.76</v>
      </c>
      <c r="I31">
        <f t="shared" si="0"/>
        <v>0</v>
      </c>
      <c r="J31">
        <f t="shared" si="1"/>
        <v>0</v>
      </c>
      <c r="K31">
        <f t="shared" si="2"/>
        <v>0</v>
      </c>
      <c r="L31">
        <f t="shared" si="3"/>
        <v>0</v>
      </c>
      <c r="M31">
        <f t="shared" si="4"/>
        <v>0</v>
      </c>
    </row>
    <row r="32" spans="1:13" x14ac:dyDescent="0.2">
      <c r="A32" s="2">
        <v>9</v>
      </c>
      <c r="B32" s="3" t="s">
        <v>16</v>
      </c>
      <c r="C32" s="3" t="s">
        <v>1</v>
      </c>
      <c r="D32" s="3" t="s">
        <v>17</v>
      </c>
      <c r="E32" s="1">
        <v>53.13</v>
      </c>
      <c r="F32" s="1">
        <v>6.48</v>
      </c>
      <c r="G32" s="4">
        <v>1019.17</v>
      </c>
      <c r="H32" s="1">
        <v>76.84</v>
      </c>
      <c r="I32">
        <f t="shared" si="0"/>
        <v>0</v>
      </c>
      <c r="J32">
        <f t="shared" si="1"/>
        <v>0</v>
      </c>
      <c r="K32">
        <f t="shared" si="2"/>
        <v>1</v>
      </c>
      <c r="L32">
        <f t="shared" si="3"/>
        <v>0</v>
      </c>
      <c r="M32">
        <f t="shared" si="4"/>
        <v>1</v>
      </c>
    </row>
    <row r="33" spans="1:13" x14ac:dyDescent="0.2">
      <c r="A33" s="2">
        <v>20</v>
      </c>
      <c r="B33" s="3" t="s">
        <v>34</v>
      </c>
      <c r="C33" s="3" t="s">
        <v>1</v>
      </c>
      <c r="D33" s="3" t="s">
        <v>17</v>
      </c>
      <c r="E33" s="1">
        <v>46.26</v>
      </c>
      <c r="F33" s="1">
        <v>10.09</v>
      </c>
      <c r="G33" s="1">
        <v>752.25</v>
      </c>
      <c r="H33" s="1">
        <v>44.25</v>
      </c>
      <c r="I33">
        <f t="shared" si="0"/>
        <v>0</v>
      </c>
      <c r="J33">
        <f t="shared" si="1"/>
        <v>0</v>
      </c>
      <c r="K33">
        <f t="shared" si="2"/>
        <v>0</v>
      </c>
      <c r="L33">
        <f t="shared" si="3"/>
        <v>0</v>
      </c>
      <c r="M33">
        <f t="shared" si="4"/>
        <v>0</v>
      </c>
    </row>
    <row r="34" spans="1:13" x14ac:dyDescent="0.2">
      <c r="A34" s="2">
        <v>28</v>
      </c>
      <c r="B34" s="3" t="s">
        <v>46</v>
      </c>
      <c r="C34" s="3" t="s">
        <v>1</v>
      </c>
      <c r="D34" s="3" t="s">
        <v>17</v>
      </c>
      <c r="E34" s="1">
        <v>33</v>
      </c>
      <c r="F34" s="1">
        <v>3.64</v>
      </c>
      <c r="G34" s="1">
        <v>580.63</v>
      </c>
      <c r="H34" s="1">
        <v>64.81</v>
      </c>
      <c r="I34">
        <f t="shared" si="0"/>
        <v>0</v>
      </c>
      <c r="J34">
        <f t="shared" si="1"/>
        <v>0</v>
      </c>
      <c r="K34">
        <f t="shared" si="2"/>
        <v>0</v>
      </c>
      <c r="L34">
        <f t="shared" si="3"/>
        <v>0</v>
      </c>
      <c r="M34">
        <f t="shared" si="4"/>
        <v>0</v>
      </c>
    </row>
    <row r="35" spans="1:13" x14ac:dyDescent="0.2">
      <c r="A35" s="2">
        <v>40</v>
      </c>
      <c r="B35" s="3" t="s">
        <v>61</v>
      </c>
      <c r="C35" s="3" t="s">
        <v>1</v>
      </c>
      <c r="D35" s="3" t="s">
        <v>17</v>
      </c>
      <c r="E35" s="1">
        <v>26.64</v>
      </c>
      <c r="F35" s="1">
        <v>3.47</v>
      </c>
      <c r="G35" s="1">
        <v>485.77</v>
      </c>
      <c r="H35" s="1">
        <v>57.52</v>
      </c>
      <c r="I35">
        <f t="shared" si="0"/>
        <v>0</v>
      </c>
      <c r="J35">
        <f t="shared" si="1"/>
        <v>0</v>
      </c>
      <c r="K35">
        <f t="shared" si="2"/>
        <v>0</v>
      </c>
      <c r="L35">
        <f t="shared" si="3"/>
        <v>0</v>
      </c>
      <c r="M35">
        <f t="shared" si="4"/>
        <v>0</v>
      </c>
    </row>
    <row r="36" spans="1:13" ht="25.5" x14ac:dyDescent="0.2">
      <c r="A36" s="2">
        <v>56</v>
      </c>
      <c r="B36" s="3" t="s">
        <v>82</v>
      </c>
      <c r="C36" s="3" t="s">
        <v>1</v>
      </c>
      <c r="D36" s="3" t="s">
        <v>17</v>
      </c>
      <c r="E36" s="1">
        <v>22.84</v>
      </c>
      <c r="F36" s="1">
        <v>2.54</v>
      </c>
      <c r="G36" s="1">
        <v>394.14</v>
      </c>
      <c r="H36" s="1">
        <v>50.12</v>
      </c>
      <c r="I36">
        <f t="shared" si="0"/>
        <v>0</v>
      </c>
      <c r="J36">
        <f t="shared" si="1"/>
        <v>0</v>
      </c>
      <c r="K36">
        <f t="shared" si="2"/>
        <v>0</v>
      </c>
      <c r="L36">
        <f t="shared" si="3"/>
        <v>0</v>
      </c>
      <c r="M36">
        <f t="shared" si="4"/>
        <v>0</v>
      </c>
    </row>
    <row r="37" spans="1:13" x14ac:dyDescent="0.2">
      <c r="A37" s="2">
        <v>50</v>
      </c>
      <c r="B37" s="3" t="s">
        <v>75</v>
      </c>
      <c r="C37" s="3" t="s">
        <v>1</v>
      </c>
      <c r="D37" s="3" t="s">
        <v>17</v>
      </c>
      <c r="E37" s="1">
        <v>24.17</v>
      </c>
      <c r="F37" s="1">
        <v>3</v>
      </c>
      <c r="G37" s="1">
        <v>175</v>
      </c>
      <c r="H37" s="1">
        <v>68.89</v>
      </c>
      <c r="I37">
        <f t="shared" si="0"/>
        <v>0</v>
      </c>
      <c r="J37">
        <f t="shared" si="1"/>
        <v>0</v>
      </c>
      <c r="K37">
        <f t="shared" si="2"/>
        <v>0</v>
      </c>
      <c r="L37">
        <f t="shared" si="3"/>
        <v>0</v>
      </c>
      <c r="M37">
        <f t="shared" si="4"/>
        <v>0</v>
      </c>
    </row>
    <row r="38" spans="1:13" x14ac:dyDescent="0.2">
      <c r="A38" s="2">
        <v>29</v>
      </c>
      <c r="B38" s="3" t="s">
        <v>47</v>
      </c>
      <c r="C38" s="3" t="s">
        <v>1</v>
      </c>
      <c r="D38" s="3" t="s">
        <v>15</v>
      </c>
      <c r="E38" s="1">
        <v>185.52</v>
      </c>
      <c r="F38" s="1">
        <v>3.82</v>
      </c>
      <c r="G38" s="1">
        <v>450</v>
      </c>
      <c r="H38" s="1">
        <v>27.47</v>
      </c>
      <c r="I38">
        <f t="shared" si="0"/>
        <v>1</v>
      </c>
      <c r="J38">
        <f t="shared" si="1"/>
        <v>0</v>
      </c>
      <c r="K38">
        <f t="shared" si="2"/>
        <v>0</v>
      </c>
      <c r="L38">
        <f t="shared" si="3"/>
        <v>0</v>
      </c>
      <c r="M38">
        <f t="shared" si="4"/>
        <v>1</v>
      </c>
    </row>
    <row r="39" spans="1:13" x14ac:dyDescent="0.2">
      <c r="A39" s="2">
        <v>75</v>
      </c>
      <c r="B39" s="3" t="s">
        <v>103</v>
      </c>
      <c r="C39" s="3" t="s">
        <v>1</v>
      </c>
      <c r="D39" s="3" t="s">
        <v>15</v>
      </c>
      <c r="E39" s="1">
        <v>164.2</v>
      </c>
      <c r="F39" s="1">
        <v>0.76</v>
      </c>
      <c r="G39" s="1">
        <v>312.56</v>
      </c>
      <c r="H39" s="1">
        <v>26.29</v>
      </c>
      <c r="I39">
        <f t="shared" si="0"/>
        <v>0</v>
      </c>
      <c r="J39">
        <f t="shared" si="1"/>
        <v>0</v>
      </c>
      <c r="K39">
        <f t="shared" si="2"/>
        <v>0</v>
      </c>
      <c r="L39">
        <f t="shared" si="3"/>
        <v>0</v>
      </c>
      <c r="M39">
        <f t="shared" si="4"/>
        <v>0</v>
      </c>
    </row>
    <row r="40" spans="1:13" x14ac:dyDescent="0.2">
      <c r="A40" s="2">
        <v>2</v>
      </c>
      <c r="B40" s="3" t="s">
        <v>3</v>
      </c>
      <c r="C40" s="3" t="s">
        <v>1</v>
      </c>
      <c r="D40" s="3" t="s">
        <v>4</v>
      </c>
      <c r="E40" s="1">
        <v>134.19</v>
      </c>
      <c r="F40" s="1">
        <v>15.59</v>
      </c>
      <c r="G40" s="1">
        <v>626.92999999999995</v>
      </c>
      <c r="H40" s="1">
        <v>328.54</v>
      </c>
      <c r="I40">
        <f t="shared" si="0"/>
        <v>0</v>
      </c>
      <c r="J40">
        <f t="shared" si="1"/>
        <v>1</v>
      </c>
      <c r="K40">
        <f t="shared" si="2"/>
        <v>0</v>
      </c>
      <c r="L40">
        <f t="shared" si="3"/>
        <v>1</v>
      </c>
      <c r="M40">
        <f t="shared" si="4"/>
        <v>2</v>
      </c>
    </row>
    <row r="41" spans="1:13" ht="25.5" x14ac:dyDescent="0.2">
      <c r="A41" s="2">
        <v>95</v>
      </c>
      <c r="B41" s="3" t="s">
        <v>129</v>
      </c>
      <c r="C41" s="3" t="s">
        <v>1</v>
      </c>
      <c r="D41" s="3" t="s">
        <v>4</v>
      </c>
      <c r="E41" s="1">
        <v>31.03</v>
      </c>
      <c r="F41" s="1">
        <v>2.36</v>
      </c>
      <c r="G41" s="1">
        <v>34.65</v>
      </c>
      <c r="H41" s="1">
        <v>48.77</v>
      </c>
      <c r="I41">
        <f t="shared" si="0"/>
        <v>0</v>
      </c>
      <c r="J41">
        <f t="shared" si="1"/>
        <v>0</v>
      </c>
      <c r="K41">
        <f t="shared" si="2"/>
        <v>0</v>
      </c>
      <c r="L41">
        <f t="shared" si="3"/>
        <v>0</v>
      </c>
      <c r="M41">
        <f t="shared" si="4"/>
        <v>0</v>
      </c>
    </row>
    <row r="42" spans="1:13" x14ac:dyDescent="0.2">
      <c r="A42" s="2">
        <v>97</v>
      </c>
      <c r="B42" s="3" t="s">
        <v>131</v>
      </c>
      <c r="C42" s="3" t="s">
        <v>1</v>
      </c>
      <c r="D42" s="3" t="s">
        <v>132</v>
      </c>
      <c r="E42" s="1">
        <v>32.630000000000003</v>
      </c>
      <c r="F42" s="1">
        <v>1.74</v>
      </c>
      <c r="G42" s="1">
        <v>41.89</v>
      </c>
      <c r="H42" s="1">
        <v>39.85</v>
      </c>
      <c r="I42">
        <f t="shared" si="0"/>
        <v>0</v>
      </c>
      <c r="J42">
        <f t="shared" si="1"/>
        <v>0</v>
      </c>
      <c r="K42">
        <f t="shared" si="2"/>
        <v>0</v>
      </c>
      <c r="L42">
        <f t="shared" si="3"/>
        <v>0</v>
      </c>
      <c r="M42">
        <f t="shared" si="4"/>
        <v>0</v>
      </c>
    </row>
    <row r="43" spans="1:13" x14ac:dyDescent="0.2">
      <c r="A43" s="2">
        <v>1</v>
      </c>
      <c r="B43" s="3" t="s">
        <v>0</v>
      </c>
      <c r="C43" s="3" t="s">
        <v>1</v>
      </c>
      <c r="D43" s="3" t="s">
        <v>2</v>
      </c>
      <c r="E43" s="1">
        <v>94.71</v>
      </c>
      <c r="F43" s="1">
        <v>17.850000000000001</v>
      </c>
      <c r="G43" s="4">
        <v>1264.03</v>
      </c>
      <c r="H43" s="1">
        <v>255.3</v>
      </c>
      <c r="I43">
        <f t="shared" si="0"/>
        <v>0</v>
      </c>
      <c r="J43">
        <f t="shared" si="1"/>
        <v>1</v>
      </c>
      <c r="K43">
        <f t="shared" si="2"/>
        <v>1</v>
      </c>
      <c r="L43">
        <f t="shared" si="3"/>
        <v>1</v>
      </c>
      <c r="M43">
        <f t="shared" si="4"/>
        <v>3</v>
      </c>
    </row>
    <row r="44" spans="1:13" x14ac:dyDescent="0.2">
      <c r="A44" s="2">
        <v>15</v>
      </c>
      <c r="B44" s="3" t="s">
        <v>27</v>
      </c>
      <c r="C44" s="3" t="s">
        <v>1</v>
      </c>
      <c r="D44" s="3" t="s">
        <v>2</v>
      </c>
      <c r="E44" s="1">
        <v>44.39</v>
      </c>
      <c r="F44" s="1">
        <v>4.47</v>
      </c>
      <c r="G44" s="1">
        <v>792.7</v>
      </c>
      <c r="H44" s="1">
        <v>81.94</v>
      </c>
      <c r="I44">
        <f t="shared" si="0"/>
        <v>0</v>
      </c>
      <c r="J44">
        <f t="shared" si="1"/>
        <v>0</v>
      </c>
      <c r="K44">
        <f t="shared" si="2"/>
        <v>0</v>
      </c>
      <c r="L44">
        <f t="shared" si="3"/>
        <v>0</v>
      </c>
      <c r="M44">
        <f t="shared" si="4"/>
        <v>0</v>
      </c>
    </row>
    <row r="45" spans="1:13" x14ac:dyDescent="0.2">
      <c r="A45" s="2">
        <v>6</v>
      </c>
      <c r="B45" s="3" t="s">
        <v>11</v>
      </c>
      <c r="C45" s="3" t="s">
        <v>1</v>
      </c>
      <c r="D45" s="3" t="s">
        <v>2</v>
      </c>
      <c r="E45" s="1">
        <v>49.01</v>
      </c>
      <c r="F45" s="1">
        <v>10.81</v>
      </c>
      <c r="G45" s="1">
        <v>736.45</v>
      </c>
      <c r="H45" s="1">
        <v>117.55</v>
      </c>
      <c r="I45">
        <f t="shared" si="0"/>
        <v>0</v>
      </c>
      <c r="J45">
        <f t="shared" si="1"/>
        <v>0</v>
      </c>
      <c r="K45">
        <f t="shared" si="2"/>
        <v>0</v>
      </c>
      <c r="L45">
        <f t="shared" si="3"/>
        <v>0</v>
      </c>
      <c r="M45">
        <f t="shared" si="4"/>
        <v>0</v>
      </c>
    </row>
    <row r="46" spans="1:13" x14ac:dyDescent="0.2">
      <c r="A46" s="2">
        <v>41</v>
      </c>
      <c r="B46" s="3" t="s">
        <v>62</v>
      </c>
      <c r="C46" s="3" t="s">
        <v>1</v>
      </c>
      <c r="D46" s="3" t="s">
        <v>2</v>
      </c>
      <c r="E46" s="1">
        <v>24.47</v>
      </c>
      <c r="F46" s="1">
        <v>4.25</v>
      </c>
      <c r="G46" s="1">
        <v>400.87</v>
      </c>
      <c r="H46" s="1">
        <v>62.35</v>
      </c>
      <c r="I46">
        <f t="shared" si="0"/>
        <v>0</v>
      </c>
      <c r="J46">
        <f t="shared" si="1"/>
        <v>0</v>
      </c>
      <c r="K46">
        <f t="shared" si="2"/>
        <v>0</v>
      </c>
      <c r="L46">
        <f t="shared" si="3"/>
        <v>0</v>
      </c>
      <c r="M46">
        <f t="shared" si="4"/>
        <v>0</v>
      </c>
    </row>
    <row r="47" spans="1:13" x14ac:dyDescent="0.2">
      <c r="A47" s="2">
        <v>25</v>
      </c>
      <c r="B47" s="3" t="s">
        <v>42</v>
      </c>
      <c r="C47" s="3" t="s">
        <v>1</v>
      </c>
      <c r="D47" s="3" t="s">
        <v>2</v>
      </c>
      <c r="E47" s="1">
        <v>31.8</v>
      </c>
      <c r="F47" s="1">
        <v>6.2</v>
      </c>
      <c r="G47" s="1">
        <v>387.8</v>
      </c>
      <c r="H47" s="1">
        <v>97.53</v>
      </c>
      <c r="I47">
        <f t="shared" si="0"/>
        <v>0</v>
      </c>
      <c r="J47">
        <f t="shared" si="1"/>
        <v>0</v>
      </c>
      <c r="K47">
        <f t="shared" si="2"/>
        <v>0</v>
      </c>
      <c r="L47">
        <f t="shared" si="3"/>
        <v>0</v>
      </c>
      <c r="M47">
        <f t="shared" si="4"/>
        <v>0</v>
      </c>
    </row>
    <row r="48" spans="1:13" x14ac:dyDescent="0.2">
      <c r="A48" s="2">
        <v>52</v>
      </c>
      <c r="B48" s="3" t="s">
        <v>77</v>
      </c>
      <c r="C48" s="3" t="s">
        <v>1</v>
      </c>
      <c r="D48" s="3" t="s">
        <v>2</v>
      </c>
      <c r="E48" s="1">
        <v>21.04</v>
      </c>
      <c r="F48" s="1">
        <v>3.4</v>
      </c>
      <c r="G48" s="1">
        <v>290.01</v>
      </c>
      <c r="H48" s="1">
        <v>58.38</v>
      </c>
      <c r="I48">
        <f t="shared" si="0"/>
        <v>0</v>
      </c>
      <c r="J48">
        <f t="shared" si="1"/>
        <v>0</v>
      </c>
      <c r="K48">
        <f t="shared" si="2"/>
        <v>0</v>
      </c>
      <c r="L48">
        <f t="shared" si="3"/>
        <v>0</v>
      </c>
      <c r="M48">
        <f t="shared" si="4"/>
        <v>0</v>
      </c>
    </row>
    <row r="49" spans="1:13" x14ac:dyDescent="0.2">
      <c r="A49" s="2">
        <v>67</v>
      </c>
      <c r="B49" s="3" t="s">
        <v>94</v>
      </c>
      <c r="C49" s="3" t="s">
        <v>1</v>
      </c>
      <c r="D49" s="3" t="s">
        <v>2</v>
      </c>
      <c r="E49" s="1">
        <v>18.010000000000002</v>
      </c>
      <c r="F49" s="1">
        <v>3.88</v>
      </c>
      <c r="G49" s="1">
        <v>275.18</v>
      </c>
      <c r="H49" s="1">
        <v>39.69</v>
      </c>
      <c r="I49">
        <f t="shared" si="0"/>
        <v>0</v>
      </c>
      <c r="J49">
        <f t="shared" si="1"/>
        <v>0</v>
      </c>
      <c r="K49">
        <f t="shared" si="2"/>
        <v>0</v>
      </c>
      <c r="L49">
        <f t="shared" si="3"/>
        <v>0</v>
      </c>
      <c r="M49">
        <f t="shared" si="4"/>
        <v>0</v>
      </c>
    </row>
    <row r="50" spans="1:13" x14ac:dyDescent="0.2">
      <c r="A50" s="2">
        <v>90</v>
      </c>
      <c r="B50" s="3" t="s">
        <v>124</v>
      </c>
      <c r="C50" s="3" t="s">
        <v>1</v>
      </c>
      <c r="D50" s="3" t="s">
        <v>2</v>
      </c>
      <c r="E50" s="1">
        <v>14.22</v>
      </c>
      <c r="F50" s="1">
        <v>2.13</v>
      </c>
      <c r="G50" s="1">
        <v>196.4</v>
      </c>
      <c r="H50" s="1">
        <v>47.19</v>
      </c>
      <c r="I50">
        <f t="shared" si="0"/>
        <v>0</v>
      </c>
      <c r="J50">
        <f t="shared" si="1"/>
        <v>0</v>
      </c>
      <c r="K50">
        <f t="shared" si="2"/>
        <v>0</v>
      </c>
      <c r="L50">
        <f t="shared" si="3"/>
        <v>0</v>
      </c>
      <c r="M50">
        <f t="shared" si="4"/>
        <v>0</v>
      </c>
    </row>
    <row r="51" spans="1:13" x14ac:dyDescent="0.2">
      <c r="A51" s="2">
        <v>77</v>
      </c>
      <c r="B51" s="3" t="s">
        <v>106</v>
      </c>
      <c r="C51" s="3" t="s">
        <v>1</v>
      </c>
      <c r="D51" s="3" t="s">
        <v>2</v>
      </c>
      <c r="E51" s="1">
        <v>14.57</v>
      </c>
      <c r="F51" s="1">
        <v>3.73</v>
      </c>
      <c r="G51" s="1">
        <v>189.29</v>
      </c>
      <c r="H51" s="1">
        <v>52.88</v>
      </c>
      <c r="I51">
        <f t="shared" si="0"/>
        <v>0</v>
      </c>
      <c r="J51">
        <f t="shared" si="1"/>
        <v>0</v>
      </c>
      <c r="K51">
        <f t="shared" si="2"/>
        <v>0</v>
      </c>
      <c r="L51">
        <f t="shared" si="3"/>
        <v>0</v>
      </c>
      <c r="M51">
        <f t="shared" si="4"/>
        <v>0</v>
      </c>
    </row>
    <row r="52" spans="1:13" ht="25.5" x14ac:dyDescent="0.2">
      <c r="A52" s="2">
        <v>93</v>
      </c>
      <c r="B52" s="3" t="s">
        <v>127</v>
      </c>
      <c r="C52" s="3" t="s">
        <v>10</v>
      </c>
      <c r="D52" s="3" t="s">
        <v>44</v>
      </c>
      <c r="E52" s="1">
        <v>29.58</v>
      </c>
      <c r="F52" s="1">
        <v>4.24</v>
      </c>
      <c r="G52" s="1">
        <v>44.42</v>
      </c>
      <c r="H52" s="1">
        <v>28.73</v>
      </c>
      <c r="I52">
        <f t="shared" si="0"/>
        <v>0</v>
      </c>
      <c r="J52">
        <f t="shared" si="1"/>
        <v>0</v>
      </c>
      <c r="K52">
        <f t="shared" si="2"/>
        <v>0</v>
      </c>
      <c r="L52">
        <f t="shared" si="3"/>
        <v>0</v>
      </c>
      <c r="M52">
        <f t="shared" si="4"/>
        <v>0</v>
      </c>
    </row>
    <row r="53" spans="1:13" ht="25.5" x14ac:dyDescent="0.2">
      <c r="A53" s="2">
        <v>5</v>
      </c>
      <c r="B53" s="3" t="s">
        <v>9</v>
      </c>
      <c r="C53" s="3" t="s">
        <v>10</v>
      </c>
      <c r="D53" s="3" t="s">
        <v>8</v>
      </c>
      <c r="E53" s="1">
        <v>232.57</v>
      </c>
      <c r="F53" s="1">
        <v>10.27</v>
      </c>
      <c r="G53" s="1">
        <v>177.57</v>
      </c>
      <c r="H53" s="1">
        <v>173.54</v>
      </c>
      <c r="I53">
        <f t="shared" si="0"/>
        <v>1</v>
      </c>
      <c r="J53">
        <f t="shared" si="1"/>
        <v>0</v>
      </c>
      <c r="K53">
        <f t="shared" si="2"/>
        <v>0</v>
      </c>
      <c r="L53">
        <f t="shared" si="3"/>
        <v>0</v>
      </c>
      <c r="M53">
        <f t="shared" si="4"/>
        <v>1</v>
      </c>
    </row>
    <row r="54" spans="1:13" ht="25.5" x14ac:dyDescent="0.2">
      <c r="A54" s="2">
        <v>80</v>
      </c>
      <c r="B54" s="3" t="s">
        <v>110</v>
      </c>
      <c r="C54" s="3" t="s">
        <v>10</v>
      </c>
      <c r="D54" s="3" t="s">
        <v>41</v>
      </c>
      <c r="E54" s="1">
        <v>34.159999999999997</v>
      </c>
      <c r="F54" s="1">
        <v>6.34</v>
      </c>
      <c r="G54" s="1">
        <v>29.19</v>
      </c>
      <c r="H54" s="1">
        <v>124.79</v>
      </c>
      <c r="I54">
        <f t="shared" si="0"/>
        <v>0</v>
      </c>
      <c r="J54">
        <f t="shared" si="1"/>
        <v>0</v>
      </c>
      <c r="K54">
        <f t="shared" si="2"/>
        <v>0</v>
      </c>
      <c r="L54">
        <f t="shared" si="3"/>
        <v>0</v>
      </c>
      <c r="M54">
        <f t="shared" si="4"/>
        <v>0</v>
      </c>
    </row>
    <row r="55" spans="1:13" x14ac:dyDescent="0.2">
      <c r="A55" s="2">
        <v>27</v>
      </c>
      <c r="B55" s="3" t="s">
        <v>45</v>
      </c>
      <c r="C55" s="3" t="s">
        <v>10</v>
      </c>
      <c r="D55" s="3" t="s">
        <v>2</v>
      </c>
      <c r="E55" s="1">
        <v>33.69</v>
      </c>
      <c r="F55" s="1">
        <v>4.9000000000000004</v>
      </c>
      <c r="G55" s="1">
        <v>791.54</v>
      </c>
      <c r="H55" s="1">
        <v>61.33</v>
      </c>
      <c r="I55">
        <f t="shared" si="0"/>
        <v>0</v>
      </c>
      <c r="J55">
        <f t="shared" si="1"/>
        <v>0</v>
      </c>
      <c r="K55">
        <f t="shared" si="2"/>
        <v>0</v>
      </c>
      <c r="L55">
        <f t="shared" si="3"/>
        <v>0</v>
      </c>
      <c r="M55">
        <f t="shared" si="4"/>
        <v>0</v>
      </c>
    </row>
    <row r="56" spans="1:13" x14ac:dyDescent="0.2">
      <c r="A56" s="2">
        <v>7</v>
      </c>
      <c r="B56" s="3" t="s">
        <v>12</v>
      </c>
      <c r="C56" s="3" t="s">
        <v>10</v>
      </c>
      <c r="D56" s="3" t="s">
        <v>2</v>
      </c>
      <c r="E56" s="1">
        <v>44.33</v>
      </c>
      <c r="F56" s="1">
        <v>6.66</v>
      </c>
      <c r="G56" s="1">
        <v>757.6</v>
      </c>
      <c r="H56" s="1">
        <v>177.96</v>
      </c>
      <c r="I56">
        <f t="shared" si="0"/>
        <v>0</v>
      </c>
      <c r="J56">
        <f t="shared" si="1"/>
        <v>0</v>
      </c>
      <c r="K56">
        <f t="shared" si="2"/>
        <v>0</v>
      </c>
      <c r="L56">
        <f t="shared" si="3"/>
        <v>0</v>
      </c>
      <c r="M56">
        <f t="shared" si="4"/>
        <v>0</v>
      </c>
    </row>
    <row r="57" spans="1:13" ht="25.5" x14ac:dyDescent="0.2">
      <c r="A57" s="2">
        <v>19</v>
      </c>
      <c r="B57" s="3" t="s">
        <v>33</v>
      </c>
      <c r="C57" s="3" t="s">
        <v>10</v>
      </c>
      <c r="D57" s="3" t="s">
        <v>2</v>
      </c>
      <c r="E57" s="1">
        <v>35.65</v>
      </c>
      <c r="F57" s="1">
        <v>4.95</v>
      </c>
      <c r="G57" s="1">
        <v>663.45</v>
      </c>
      <c r="H57" s="1">
        <v>90.21</v>
      </c>
      <c r="I57">
        <f t="shared" si="0"/>
        <v>0</v>
      </c>
      <c r="J57">
        <f t="shared" si="1"/>
        <v>0</v>
      </c>
      <c r="K57">
        <f t="shared" si="2"/>
        <v>0</v>
      </c>
      <c r="L57">
        <f t="shared" si="3"/>
        <v>0</v>
      </c>
      <c r="M57">
        <f t="shared" si="4"/>
        <v>0</v>
      </c>
    </row>
    <row r="58" spans="1:13" x14ac:dyDescent="0.2">
      <c r="A58" s="2">
        <v>36</v>
      </c>
      <c r="B58" s="3" t="s">
        <v>55</v>
      </c>
      <c r="C58" s="3" t="s">
        <v>10</v>
      </c>
      <c r="D58" s="3" t="s">
        <v>2</v>
      </c>
      <c r="E58" s="1">
        <v>32.68</v>
      </c>
      <c r="F58" s="1">
        <v>3.09</v>
      </c>
      <c r="G58" s="1">
        <v>571.76</v>
      </c>
      <c r="H58" s="1">
        <v>52.87</v>
      </c>
      <c r="I58">
        <f t="shared" si="0"/>
        <v>0</v>
      </c>
      <c r="J58">
        <f t="shared" si="1"/>
        <v>0</v>
      </c>
      <c r="K58">
        <f t="shared" si="2"/>
        <v>0</v>
      </c>
      <c r="L58">
        <f t="shared" si="3"/>
        <v>0</v>
      </c>
      <c r="M58">
        <f t="shared" si="4"/>
        <v>0</v>
      </c>
    </row>
    <row r="59" spans="1:13" x14ac:dyDescent="0.2">
      <c r="A59" s="2">
        <v>47</v>
      </c>
      <c r="B59" s="3" t="s">
        <v>72</v>
      </c>
      <c r="C59" s="3" t="s">
        <v>10</v>
      </c>
      <c r="D59" s="3" t="s">
        <v>2</v>
      </c>
      <c r="E59" s="1">
        <v>24.48</v>
      </c>
      <c r="F59" s="1">
        <v>2.87</v>
      </c>
      <c r="G59" s="1">
        <v>406.99</v>
      </c>
      <c r="H59" s="1">
        <v>48.11</v>
      </c>
      <c r="I59">
        <f t="shared" si="0"/>
        <v>0</v>
      </c>
      <c r="J59">
        <f t="shared" si="1"/>
        <v>0</v>
      </c>
      <c r="K59">
        <f t="shared" si="2"/>
        <v>0</v>
      </c>
      <c r="L59">
        <f t="shared" si="3"/>
        <v>0</v>
      </c>
      <c r="M59">
        <f t="shared" si="4"/>
        <v>0</v>
      </c>
    </row>
    <row r="60" spans="1:13" ht="25.5" x14ac:dyDescent="0.2">
      <c r="A60" s="2">
        <v>32</v>
      </c>
      <c r="B60" s="3" t="s">
        <v>51</v>
      </c>
      <c r="C60" s="3" t="s">
        <v>21</v>
      </c>
      <c r="D60" s="3" t="s">
        <v>38</v>
      </c>
      <c r="E60" s="1">
        <v>64.56</v>
      </c>
      <c r="F60" s="1">
        <v>5.48</v>
      </c>
      <c r="G60" s="1">
        <v>62.15</v>
      </c>
      <c r="H60" s="1">
        <v>106.55</v>
      </c>
      <c r="I60">
        <f t="shared" si="0"/>
        <v>0</v>
      </c>
      <c r="J60">
        <f t="shared" si="1"/>
        <v>0</v>
      </c>
      <c r="K60">
        <f t="shared" si="2"/>
        <v>0</v>
      </c>
      <c r="L60">
        <f t="shared" si="3"/>
        <v>0</v>
      </c>
      <c r="M60">
        <f t="shared" si="4"/>
        <v>0</v>
      </c>
    </row>
    <row r="61" spans="1:13" ht="25.5" x14ac:dyDescent="0.2">
      <c r="A61" s="2">
        <v>64</v>
      </c>
      <c r="B61" s="3" t="s">
        <v>90</v>
      </c>
      <c r="C61" s="3" t="s">
        <v>21</v>
      </c>
      <c r="D61" s="3" t="s">
        <v>41</v>
      </c>
      <c r="E61" s="1">
        <v>26.77</v>
      </c>
      <c r="F61" s="1">
        <v>5.4</v>
      </c>
      <c r="G61" s="1">
        <v>46.92</v>
      </c>
      <c r="H61" s="1">
        <v>116.43</v>
      </c>
      <c r="I61">
        <f t="shared" si="0"/>
        <v>0</v>
      </c>
      <c r="J61">
        <f t="shared" si="1"/>
        <v>0</v>
      </c>
      <c r="K61">
        <f t="shared" si="2"/>
        <v>0</v>
      </c>
      <c r="L61">
        <f t="shared" si="3"/>
        <v>0</v>
      </c>
      <c r="M61">
        <f t="shared" si="4"/>
        <v>0</v>
      </c>
    </row>
    <row r="62" spans="1:13" ht="25.5" x14ac:dyDescent="0.2">
      <c r="A62" s="2">
        <v>78</v>
      </c>
      <c r="B62" s="3" t="s">
        <v>107</v>
      </c>
      <c r="C62" s="3" t="s">
        <v>21</v>
      </c>
      <c r="D62" s="3" t="s">
        <v>41</v>
      </c>
      <c r="E62" s="1">
        <v>25.18</v>
      </c>
      <c r="F62" s="1">
        <v>2.48</v>
      </c>
      <c r="G62" s="1">
        <v>45.77</v>
      </c>
      <c r="H62" s="1">
        <v>95.38</v>
      </c>
      <c r="I62">
        <f t="shared" si="0"/>
        <v>0</v>
      </c>
      <c r="J62">
        <f t="shared" si="1"/>
        <v>0</v>
      </c>
      <c r="K62">
        <f t="shared" si="2"/>
        <v>0</v>
      </c>
      <c r="L62">
        <f t="shared" si="3"/>
        <v>0</v>
      </c>
      <c r="M62">
        <f t="shared" si="4"/>
        <v>0</v>
      </c>
    </row>
    <row r="63" spans="1:13" x14ac:dyDescent="0.2">
      <c r="A63" s="2">
        <v>11</v>
      </c>
      <c r="B63" s="3" t="s">
        <v>20</v>
      </c>
      <c r="C63" s="3" t="s">
        <v>21</v>
      </c>
      <c r="D63" s="3" t="s">
        <v>17</v>
      </c>
      <c r="E63" s="1">
        <v>48.95</v>
      </c>
      <c r="F63" s="1">
        <v>5.15</v>
      </c>
      <c r="G63" s="1">
        <v>853.23</v>
      </c>
      <c r="H63" s="1">
        <v>85.07</v>
      </c>
      <c r="I63">
        <f t="shared" si="0"/>
        <v>0</v>
      </c>
      <c r="J63">
        <f t="shared" si="1"/>
        <v>0</v>
      </c>
      <c r="K63">
        <f t="shared" si="2"/>
        <v>0</v>
      </c>
      <c r="L63">
        <f t="shared" si="3"/>
        <v>0</v>
      </c>
      <c r="M63">
        <f t="shared" si="4"/>
        <v>0</v>
      </c>
    </row>
    <row r="64" spans="1:13" ht="25.5" x14ac:dyDescent="0.2">
      <c r="A64" s="2">
        <v>39</v>
      </c>
      <c r="B64" s="3" t="s">
        <v>59</v>
      </c>
      <c r="C64" s="3" t="s">
        <v>60</v>
      </c>
      <c r="D64" s="3" t="s">
        <v>2</v>
      </c>
      <c r="E64" s="1">
        <v>28.7</v>
      </c>
      <c r="F64" s="1">
        <v>3.28</v>
      </c>
      <c r="G64" s="1">
        <v>442.24</v>
      </c>
      <c r="H64" s="1">
        <v>56.78</v>
      </c>
      <c r="I64">
        <f t="shared" si="0"/>
        <v>0</v>
      </c>
      <c r="J64">
        <f t="shared" si="1"/>
        <v>0</v>
      </c>
      <c r="K64">
        <f t="shared" si="2"/>
        <v>0</v>
      </c>
      <c r="L64">
        <f t="shared" si="3"/>
        <v>0</v>
      </c>
      <c r="M64">
        <f t="shared" si="4"/>
        <v>0</v>
      </c>
    </row>
    <row r="65" spans="1:13" ht="25.5" x14ac:dyDescent="0.2">
      <c r="A65" s="2">
        <v>57</v>
      </c>
      <c r="B65" s="3" t="s">
        <v>83</v>
      </c>
      <c r="C65" s="3" t="s">
        <v>60</v>
      </c>
      <c r="D65" s="3" t="s">
        <v>2</v>
      </c>
      <c r="E65" s="1">
        <v>24.1</v>
      </c>
      <c r="F65" s="1">
        <v>2.81</v>
      </c>
      <c r="G65" s="1">
        <v>288.8</v>
      </c>
      <c r="H65" s="1">
        <v>44.67</v>
      </c>
      <c r="I65">
        <f t="shared" si="0"/>
        <v>0</v>
      </c>
      <c r="J65">
        <f t="shared" si="1"/>
        <v>0</v>
      </c>
      <c r="K65">
        <f t="shared" si="2"/>
        <v>0</v>
      </c>
      <c r="L65">
        <f t="shared" si="3"/>
        <v>0</v>
      </c>
      <c r="M65">
        <f t="shared" si="4"/>
        <v>0</v>
      </c>
    </row>
    <row r="66" spans="1:13" ht="25.5" x14ac:dyDescent="0.2">
      <c r="A66" s="2">
        <v>45</v>
      </c>
      <c r="B66" s="3" t="s">
        <v>68</v>
      </c>
      <c r="C66" s="3" t="s">
        <v>69</v>
      </c>
      <c r="D66" s="3" t="s">
        <v>70</v>
      </c>
      <c r="E66" s="1">
        <v>50.22</v>
      </c>
      <c r="F66" s="1">
        <v>5.95</v>
      </c>
      <c r="G66" s="1">
        <v>54.58</v>
      </c>
      <c r="H66" s="1">
        <v>72.72</v>
      </c>
      <c r="I66">
        <f t="shared" si="0"/>
        <v>0</v>
      </c>
      <c r="J66">
        <f t="shared" si="1"/>
        <v>0</v>
      </c>
      <c r="K66">
        <f t="shared" si="2"/>
        <v>0</v>
      </c>
      <c r="L66">
        <f t="shared" si="3"/>
        <v>0</v>
      </c>
      <c r="M66">
        <f t="shared" si="4"/>
        <v>0</v>
      </c>
    </row>
    <row r="67" spans="1:13" ht="25.5" x14ac:dyDescent="0.2">
      <c r="A67" s="2">
        <v>87</v>
      </c>
      <c r="B67" s="3" t="s">
        <v>119</v>
      </c>
      <c r="C67" s="3" t="s">
        <v>120</v>
      </c>
      <c r="D67" s="3" t="s">
        <v>8</v>
      </c>
      <c r="E67" s="1">
        <v>19.21</v>
      </c>
      <c r="F67" s="1">
        <v>3.81</v>
      </c>
      <c r="G67" s="1">
        <v>77.150000000000006</v>
      </c>
      <c r="H67" s="1">
        <v>36.28</v>
      </c>
      <c r="I67">
        <f t="shared" si="0"/>
        <v>0</v>
      </c>
      <c r="J67">
        <f t="shared" si="1"/>
        <v>0</v>
      </c>
      <c r="K67">
        <f t="shared" si="2"/>
        <v>0</v>
      </c>
      <c r="L67">
        <f t="shared" si="3"/>
        <v>0</v>
      </c>
      <c r="M67">
        <f t="shared" si="4"/>
        <v>0</v>
      </c>
    </row>
    <row r="68" spans="1:13" ht="25.5" x14ac:dyDescent="0.2">
      <c r="A68" s="2">
        <v>13</v>
      </c>
      <c r="B68" s="3" t="s">
        <v>24</v>
      </c>
      <c r="C68" s="3" t="s">
        <v>25</v>
      </c>
      <c r="D68" s="3" t="s">
        <v>8</v>
      </c>
      <c r="E68" s="1">
        <v>133.5</v>
      </c>
      <c r="F68" s="1">
        <v>8.4</v>
      </c>
      <c r="G68" s="1">
        <v>100.72</v>
      </c>
      <c r="H68" s="1">
        <v>163.44999999999999</v>
      </c>
      <c r="I68">
        <f t="shared" si="0"/>
        <v>0</v>
      </c>
      <c r="J68">
        <f t="shared" si="1"/>
        <v>0</v>
      </c>
      <c r="K68">
        <f t="shared" si="2"/>
        <v>0</v>
      </c>
      <c r="L68">
        <f t="shared" si="3"/>
        <v>0</v>
      </c>
      <c r="M68">
        <f t="shared" si="4"/>
        <v>0</v>
      </c>
    </row>
    <row r="69" spans="1:13" ht="25.5" x14ac:dyDescent="0.2">
      <c r="A69" s="2">
        <v>66</v>
      </c>
      <c r="B69" s="3" t="s">
        <v>93</v>
      </c>
      <c r="C69" s="3" t="s">
        <v>25</v>
      </c>
      <c r="D69" s="3" t="s">
        <v>38</v>
      </c>
      <c r="E69" s="1">
        <v>50.7</v>
      </c>
      <c r="F69" s="1">
        <v>2.2400000000000002</v>
      </c>
      <c r="G69" s="1">
        <v>45.49</v>
      </c>
      <c r="H69" s="1">
        <v>72.19</v>
      </c>
      <c r="I69">
        <f t="shared" si="0"/>
        <v>0</v>
      </c>
      <c r="J69">
        <f t="shared" si="1"/>
        <v>0</v>
      </c>
      <c r="K69">
        <f t="shared" si="2"/>
        <v>0</v>
      </c>
      <c r="L69">
        <f t="shared" si="3"/>
        <v>0</v>
      </c>
      <c r="M69">
        <f t="shared" si="4"/>
        <v>0</v>
      </c>
    </row>
    <row r="70" spans="1:13" ht="25.5" x14ac:dyDescent="0.2">
      <c r="A70" s="2">
        <v>98</v>
      </c>
      <c r="B70" s="3" t="s">
        <v>133</v>
      </c>
      <c r="C70" s="3" t="s">
        <v>23</v>
      </c>
      <c r="D70" s="3" t="s">
        <v>6</v>
      </c>
      <c r="E70" s="1">
        <v>17.75</v>
      </c>
      <c r="F70" s="1">
        <v>1.63</v>
      </c>
      <c r="G70" s="1">
        <v>266.58999999999997</v>
      </c>
      <c r="H70" s="1">
        <v>23.49</v>
      </c>
      <c r="I70">
        <f t="shared" ref="I70:I104" si="5">IF(E70 &gt;=$N$5,1,0)</f>
        <v>0</v>
      </c>
      <c r="J70">
        <f t="shared" ref="J70:J104" si="6">IF(F70 &gt;=$O$5,1,0)</f>
        <v>0</v>
      </c>
      <c r="K70">
        <f t="shared" ref="K70:K104" si="7">IF(G70 &gt;=$P$5,1,0)</f>
        <v>0</v>
      </c>
      <c r="L70">
        <f t="shared" ref="L70:L104" si="8">IF(H70 &gt;=$Q$5,1,0)</f>
        <v>0</v>
      </c>
      <c r="M70">
        <f t="shared" ref="M70:M104" si="9">SUM(I70:L70)</f>
        <v>0</v>
      </c>
    </row>
    <row r="71" spans="1:13" x14ac:dyDescent="0.2">
      <c r="A71" s="2">
        <v>12</v>
      </c>
      <c r="B71" s="3" t="s">
        <v>22</v>
      </c>
      <c r="C71" s="3" t="s">
        <v>23</v>
      </c>
      <c r="D71" s="3" t="s">
        <v>17</v>
      </c>
      <c r="E71" s="1">
        <v>94.72</v>
      </c>
      <c r="F71" s="1">
        <v>4.7300000000000004</v>
      </c>
      <c r="G71" s="1">
        <v>752.49</v>
      </c>
      <c r="H71" s="1">
        <v>54.59</v>
      </c>
      <c r="I71">
        <f t="shared" si="5"/>
        <v>0</v>
      </c>
      <c r="J71">
        <f t="shared" si="6"/>
        <v>0</v>
      </c>
      <c r="K71">
        <f t="shared" si="7"/>
        <v>0</v>
      </c>
      <c r="L71">
        <f t="shared" si="8"/>
        <v>0</v>
      </c>
      <c r="M71">
        <f t="shared" si="9"/>
        <v>0</v>
      </c>
    </row>
    <row r="72" spans="1:13" x14ac:dyDescent="0.2">
      <c r="A72" s="2">
        <v>96</v>
      </c>
      <c r="B72" s="3" t="s">
        <v>130</v>
      </c>
      <c r="C72" s="3" t="s">
        <v>23</v>
      </c>
      <c r="D72" s="3" t="s">
        <v>17</v>
      </c>
      <c r="E72" s="1">
        <v>52.51</v>
      </c>
      <c r="F72" s="1">
        <v>0.56000000000000005</v>
      </c>
      <c r="G72" s="1">
        <v>507.98</v>
      </c>
      <c r="H72" s="1">
        <v>30.19</v>
      </c>
      <c r="I72">
        <f t="shared" si="5"/>
        <v>0</v>
      </c>
      <c r="J72">
        <f t="shared" si="6"/>
        <v>0</v>
      </c>
      <c r="K72">
        <f t="shared" si="7"/>
        <v>0</v>
      </c>
      <c r="L72">
        <f t="shared" si="8"/>
        <v>0</v>
      </c>
      <c r="M72">
        <f t="shared" si="9"/>
        <v>0</v>
      </c>
    </row>
    <row r="73" spans="1:13" x14ac:dyDescent="0.2">
      <c r="A73" s="2">
        <v>48</v>
      </c>
      <c r="B73" s="3" t="s">
        <v>73</v>
      </c>
      <c r="C73" s="3" t="s">
        <v>23</v>
      </c>
      <c r="D73" s="3" t="s">
        <v>2</v>
      </c>
      <c r="E73" s="1">
        <v>23.64</v>
      </c>
      <c r="F73" s="1">
        <v>3.98</v>
      </c>
      <c r="G73" s="1">
        <v>704.95</v>
      </c>
      <c r="H73" s="1">
        <v>39.29</v>
      </c>
      <c r="I73">
        <f t="shared" si="5"/>
        <v>0</v>
      </c>
      <c r="J73">
        <f t="shared" si="6"/>
        <v>0</v>
      </c>
      <c r="K73">
        <f t="shared" si="7"/>
        <v>0</v>
      </c>
      <c r="L73">
        <f t="shared" si="8"/>
        <v>0</v>
      </c>
      <c r="M73">
        <f t="shared" si="9"/>
        <v>0</v>
      </c>
    </row>
    <row r="74" spans="1:13" ht="25.5" x14ac:dyDescent="0.2">
      <c r="A74" s="2">
        <v>72</v>
      </c>
      <c r="B74" s="3" t="s">
        <v>100</v>
      </c>
      <c r="C74" s="3" t="s">
        <v>14</v>
      </c>
      <c r="D74" s="3" t="s">
        <v>92</v>
      </c>
      <c r="E74" s="1">
        <v>41.62</v>
      </c>
      <c r="F74" s="1">
        <v>1.4</v>
      </c>
      <c r="G74" s="1">
        <v>116.68</v>
      </c>
      <c r="H74" s="1">
        <v>30.63</v>
      </c>
      <c r="I74">
        <f t="shared" si="5"/>
        <v>0</v>
      </c>
      <c r="J74">
        <f t="shared" si="6"/>
        <v>0</v>
      </c>
      <c r="K74">
        <f t="shared" si="7"/>
        <v>0</v>
      </c>
      <c r="L74">
        <f t="shared" si="8"/>
        <v>0</v>
      </c>
      <c r="M74">
        <f t="shared" si="9"/>
        <v>0</v>
      </c>
    </row>
    <row r="75" spans="1:13" ht="25.5" x14ac:dyDescent="0.2">
      <c r="A75" s="2">
        <v>30</v>
      </c>
      <c r="B75" s="3" t="s">
        <v>48</v>
      </c>
      <c r="C75" s="3" t="s">
        <v>14</v>
      </c>
      <c r="D75" s="3" t="s">
        <v>44</v>
      </c>
      <c r="E75" s="1">
        <v>92.41</v>
      </c>
      <c r="F75" s="1">
        <v>2.17</v>
      </c>
      <c r="G75" s="1">
        <v>150.87</v>
      </c>
      <c r="H75" s="1">
        <v>73</v>
      </c>
      <c r="I75">
        <f t="shared" si="5"/>
        <v>0</v>
      </c>
      <c r="J75">
        <f t="shared" si="6"/>
        <v>0</v>
      </c>
      <c r="K75">
        <f t="shared" si="7"/>
        <v>0</v>
      </c>
      <c r="L75">
        <f t="shared" si="8"/>
        <v>0</v>
      </c>
      <c r="M75">
        <f t="shared" si="9"/>
        <v>0</v>
      </c>
    </row>
    <row r="76" spans="1:13" x14ac:dyDescent="0.2">
      <c r="A76" s="2">
        <v>8</v>
      </c>
      <c r="B76" s="3" t="s">
        <v>13</v>
      </c>
      <c r="C76" s="3" t="s">
        <v>14</v>
      </c>
      <c r="D76" s="3" t="s">
        <v>15</v>
      </c>
      <c r="E76" s="1">
        <v>135.82</v>
      </c>
      <c r="F76" s="1">
        <v>7.99</v>
      </c>
      <c r="G76" s="1">
        <v>171.71</v>
      </c>
      <c r="H76" s="1">
        <v>115.4</v>
      </c>
      <c r="I76">
        <f t="shared" si="5"/>
        <v>0</v>
      </c>
      <c r="J76">
        <f t="shared" si="6"/>
        <v>0</v>
      </c>
      <c r="K76">
        <f t="shared" si="7"/>
        <v>0</v>
      </c>
      <c r="L76">
        <f t="shared" si="8"/>
        <v>0</v>
      </c>
      <c r="M76">
        <f t="shared" si="9"/>
        <v>0</v>
      </c>
    </row>
    <row r="77" spans="1:13" x14ac:dyDescent="0.2">
      <c r="A77" s="2">
        <v>82</v>
      </c>
      <c r="B77" s="3" t="s">
        <v>112</v>
      </c>
      <c r="C77" s="3" t="s">
        <v>14</v>
      </c>
      <c r="D77" s="3" t="s">
        <v>15</v>
      </c>
      <c r="E77" s="1">
        <v>63.23</v>
      </c>
      <c r="F77" s="1">
        <v>0.98</v>
      </c>
      <c r="G77" s="1">
        <v>68.040000000000006</v>
      </c>
      <c r="H77" s="1">
        <v>38</v>
      </c>
      <c r="I77">
        <f t="shared" si="5"/>
        <v>0</v>
      </c>
      <c r="J77">
        <f t="shared" si="6"/>
        <v>0</v>
      </c>
      <c r="K77">
        <f t="shared" si="7"/>
        <v>0</v>
      </c>
      <c r="L77">
        <f t="shared" si="8"/>
        <v>0</v>
      </c>
      <c r="M77">
        <f t="shared" si="9"/>
        <v>0</v>
      </c>
    </row>
    <row r="78" spans="1:13" x14ac:dyDescent="0.2">
      <c r="A78" s="2">
        <v>49</v>
      </c>
      <c r="B78" s="3" t="s">
        <v>74</v>
      </c>
      <c r="C78" s="3" t="s">
        <v>14</v>
      </c>
      <c r="D78" s="3" t="s">
        <v>15</v>
      </c>
      <c r="E78" s="1">
        <v>67.44</v>
      </c>
      <c r="F78" s="1">
        <v>3.61</v>
      </c>
      <c r="G78" s="1">
        <v>63.09</v>
      </c>
      <c r="H78" s="1">
        <v>40.61</v>
      </c>
      <c r="I78">
        <f t="shared" si="5"/>
        <v>0</v>
      </c>
      <c r="J78">
        <f t="shared" si="6"/>
        <v>0</v>
      </c>
      <c r="K78">
        <f t="shared" si="7"/>
        <v>0</v>
      </c>
      <c r="L78">
        <f t="shared" si="8"/>
        <v>0</v>
      </c>
      <c r="M78">
        <f t="shared" si="9"/>
        <v>0</v>
      </c>
    </row>
    <row r="79" spans="1:13" x14ac:dyDescent="0.2">
      <c r="A79" s="2">
        <v>51</v>
      </c>
      <c r="B79" s="3" t="s">
        <v>76</v>
      </c>
      <c r="C79" s="3" t="s">
        <v>14</v>
      </c>
      <c r="D79" s="3" t="s">
        <v>15</v>
      </c>
      <c r="E79" s="1">
        <v>57.77</v>
      </c>
      <c r="F79" s="1">
        <v>4.1900000000000004</v>
      </c>
      <c r="G79" s="1">
        <v>60.56</v>
      </c>
      <c r="H79" s="1">
        <v>41.71</v>
      </c>
      <c r="I79">
        <f t="shared" si="5"/>
        <v>0</v>
      </c>
      <c r="J79">
        <f t="shared" si="6"/>
        <v>0</v>
      </c>
      <c r="K79">
        <f t="shared" si="7"/>
        <v>0</v>
      </c>
      <c r="L79">
        <f t="shared" si="8"/>
        <v>0</v>
      </c>
      <c r="M79">
        <f t="shared" si="9"/>
        <v>0</v>
      </c>
    </row>
    <row r="80" spans="1:13" x14ac:dyDescent="0.2">
      <c r="A80" s="2">
        <v>65</v>
      </c>
      <c r="B80" s="3" t="s">
        <v>91</v>
      </c>
      <c r="C80" s="3" t="s">
        <v>57</v>
      </c>
      <c r="D80" s="3" t="s">
        <v>92</v>
      </c>
      <c r="E80" s="1">
        <v>38.99</v>
      </c>
      <c r="F80" s="1">
        <v>2.11</v>
      </c>
      <c r="G80" s="1">
        <v>71.36</v>
      </c>
      <c r="H80" s="1">
        <v>46.84</v>
      </c>
      <c r="I80">
        <f t="shared" si="5"/>
        <v>0</v>
      </c>
      <c r="J80">
        <f t="shared" si="6"/>
        <v>0</v>
      </c>
      <c r="K80">
        <f t="shared" si="7"/>
        <v>0</v>
      </c>
      <c r="L80">
        <f t="shared" si="8"/>
        <v>0</v>
      </c>
      <c r="M80">
        <f t="shared" si="9"/>
        <v>0</v>
      </c>
    </row>
    <row r="81" spans="1:13" ht="25.5" x14ac:dyDescent="0.2">
      <c r="A81" s="2">
        <v>37</v>
      </c>
      <c r="B81" s="3" t="s">
        <v>56</v>
      </c>
      <c r="C81" s="3" t="s">
        <v>57</v>
      </c>
      <c r="D81" s="3" t="s">
        <v>8</v>
      </c>
      <c r="E81" s="1">
        <v>53.29</v>
      </c>
      <c r="F81" s="1">
        <v>4.82</v>
      </c>
      <c r="G81" s="1">
        <v>67.91</v>
      </c>
      <c r="H81" s="1">
        <v>76.13</v>
      </c>
      <c r="I81">
        <f t="shared" si="5"/>
        <v>0</v>
      </c>
      <c r="J81">
        <f t="shared" si="6"/>
        <v>0</v>
      </c>
      <c r="K81">
        <f t="shared" si="7"/>
        <v>0</v>
      </c>
      <c r="L81">
        <f t="shared" si="8"/>
        <v>0</v>
      </c>
      <c r="M81">
        <f t="shared" si="9"/>
        <v>0</v>
      </c>
    </row>
    <row r="82" spans="1:13" x14ac:dyDescent="0.2">
      <c r="A82" s="2">
        <v>92</v>
      </c>
      <c r="B82" s="3" t="s">
        <v>126</v>
      </c>
      <c r="C82" s="3" t="s">
        <v>57</v>
      </c>
      <c r="D82" s="3" t="s">
        <v>2</v>
      </c>
      <c r="E82" s="1">
        <v>16.53</v>
      </c>
      <c r="F82" s="1">
        <v>1.89</v>
      </c>
      <c r="G82" s="1">
        <v>223.6</v>
      </c>
      <c r="H82" s="1">
        <v>33.53</v>
      </c>
      <c r="I82">
        <f t="shared" si="5"/>
        <v>0</v>
      </c>
      <c r="J82">
        <f t="shared" si="6"/>
        <v>0</v>
      </c>
      <c r="K82">
        <f t="shared" si="7"/>
        <v>0</v>
      </c>
      <c r="L82">
        <f t="shared" si="8"/>
        <v>0</v>
      </c>
      <c r="M82">
        <f t="shared" si="9"/>
        <v>0</v>
      </c>
    </row>
    <row r="83" spans="1:13" x14ac:dyDescent="0.2">
      <c r="A83" s="2">
        <v>91</v>
      </c>
      <c r="B83" s="3" t="s">
        <v>125</v>
      </c>
      <c r="C83" s="3" t="s">
        <v>36</v>
      </c>
      <c r="D83" s="3" t="s">
        <v>92</v>
      </c>
      <c r="E83" s="1">
        <v>45.68</v>
      </c>
      <c r="F83" s="1">
        <v>1.1000000000000001</v>
      </c>
      <c r="G83" s="1">
        <v>97.35</v>
      </c>
      <c r="H83" s="1">
        <v>23.76</v>
      </c>
      <c r="I83">
        <f t="shared" si="5"/>
        <v>0</v>
      </c>
      <c r="J83">
        <f t="shared" si="6"/>
        <v>0</v>
      </c>
      <c r="K83">
        <f t="shared" si="7"/>
        <v>0</v>
      </c>
      <c r="L83">
        <f t="shared" si="8"/>
        <v>0</v>
      </c>
      <c r="M83">
        <f t="shared" si="9"/>
        <v>0</v>
      </c>
    </row>
    <row r="84" spans="1:13" x14ac:dyDescent="0.2">
      <c r="A84" s="2">
        <v>69</v>
      </c>
      <c r="B84" s="3" t="s">
        <v>96</v>
      </c>
      <c r="C84" s="3" t="s">
        <v>36</v>
      </c>
      <c r="D84" s="3" t="s">
        <v>97</v>
      </c>
      <c r="E84" s="1">
        <v>41.23</v>
      </c>
      <c r="F84" s="1">
        <v>1.64</v>
      </c>
      <c r="G84" s="1">
        <v>169.33</v>
      </c>
      <c r="H84" s="1">
        <v>26.83</v>
      </c>
      <c r="I84">
        <f t="shared" si="5"/>
        <v>0</v>
      </c>
      <c r="J84">
        <f t="shared" si="6"/>
        <v>0</v>
      </c>
      <c r="K84">
        <f t="shared" si="7"/>
        <v>0</v>
      </c>
      <c r="L84">
        <f t="shared" si="8"/>
        <v>0</v>
      </c>
      <c r="M84">
        <f t="shared" si="9"/>
        <v>0</v>
      </c>
    </row>
    <row r="85" spans="1:13" x14ac:dyDescent="0.2">
      <c r="A85" s="2">
        <v>73</v>
      </c>
      <c r="B85" s="3" t="s">
        <v>101</v>
      </c>
      <c r="C85" s="3" t="s">
        <v>36</v>
      </c>
      <c r="D85" s="3" t="s">
        <v>6</v>
      </c>
      <c r="E85" s="1">
        <v>45.85</v>
      </c>
      <c r="F85" s="1">
        <v>1.1399999999999999</v>
      </c>
      <c r="G85" s="1">
        <v>191.33</v>
      </c>
      <c r="H85" s="1">
        <v>26.63</v>
      </c>
      <c r="I85">
        <f t="shared" si="5"/>
        <v>0</v>
      </c>
      <c r="J85">
        <f t="shared" si="6"/>
        <v>0</v>
      </c>
      <c r="K85">
        <f t="shared" si="7"/>
        <v>0</v>
      </c>
      <c r="L85">
        <f t="shared" si="8"/>
        <v>0</v>
      </c>
      <c r="M85">
        <f t="shared" si="9"/>
        <v>0</v>
      </c>
    </row>
    <row r="86" spans="1:13" ht="25.5" x14ac:dyDescent="0.2">
      <c r="A86" s="2">
        <v>34</v>
      </c>
      <c r="B86" s="3" t="s">
        <v>53</v>
      </c>
      <c r="C86" s="3" t="s">
        <v>36</v>
      </c>
      <c r="D86" s="3" t="s">
        <v>17</v>
      </c>
      <c r="E86" s="1">
        <v>58.85</v>
      </c>
      <c r="F86" s="1">
        <v>1.53</v>
      </c>
      <c r="G86" s="1">
        <v>792.49</v>
      </c>
      <c r="H86" s="1">
        <v>50.23</v>
      </c>
      <c r="I86">
        <f t="shared" si="5"/>
        <v>0</v>
      </c>
      <c r="J86">
        <f t="shared" si="6"/>
        <v>0</v>
      </c>
      <c r="K86">
        <f t="shared" si="7"/>
        <v>0</v>
      </c>
      <c r="L86">
        <f t="shared" si="8"/>
        <v>0</v>
      </c>
      <c r="M86">
        <f t="shared" si="9"/>
        <v>0</v>
      </c>
    </row>
    <row r="87" spans="1:13" x14ac:dyDescent="0.2">
      <c r="A87" s="2">
        <v>21</v>
      </c>
      <c r="B87" s="3" t="s">
        <v>35</v>
      </c>
      <c r="C87" s="3" t="s">
        <v>36</v>
      </c>
      <c r="D87" s="3" t="s">
        <v>15</v>
      </c>
      <c r="E87" s="1">
        <v>157.13</v>
      </c>
      <c r="F87" s="1">
        <v>5.12</v>
      </c>
      <c r="G87" s="1">
        <v>195.58</v>
      </c>
      <c r="H87" s="1">
        <v>47.43</v>
      </c>
      <c r="I87">
        <f t="shared" si="5"/>
        <v>0</v>
      </c>
      <c r="J87">
        <f t="shared" si="6"/>
        <v>0</v>
      </c>
      <c r="K87">
        <f t="shared" si="7"/>
        <v>0</v>
      </c>
      <c r="L87">
        <f t="shared" si="8"/>
        <v>0</v>
      </c>
      <c r="M87">
        <f t="shared" si="9"/>
        <v>0</v>
      </c>
    </row>
    <row r="88" spans="1:13" x14ac:dyDescent="0.2">
      <c r="A88" s="2">
        <v>71</v>
      </c>
      <c r="B88" s="3" t="s">
        <v>99</v>
      </c>
      <c r="C88" s="3" t="s">
        <v>36</v>
      </c>
      <c r="D88" s="3" t="s">
        <v>15</v>
      </c>
      <c r="E88" s="1">
        <v>91.33</v>
      </c>
      <c r="F88" s="1">
        <v>2.71</v>
      </c>
      <c r="G88" s="1">
        <v>112.87</v>
      </c>
      <c r="H88" s="1">
        <v>17.420000000000002</v>
      </c>
      <c r="I88">
        <f t="shared" si="5"/>
        <v>0</v>
      </c>
      <c r="J88">
        <f t="shared" si="6"/>
        <v>0</v>
      </c>
      <c r="K88">
        <f t="shared" si="7"/>
        <v>0</v>
      </c>
      <c r="L88">
        <f t="shared" si="8"/>
        <v>0</v>
      </c>
      <c r="M88">
        <f t="shared" si="9"/>
        <v>0</v>
      </c>
    </row>
    <row r="89" spans="1:13" ht="25.5" x14ac:dyDescent="0.2">
      <c r="A89" s="2">
        <v>74</v>
      </c>
      <c r="B89" s="3" t="s">
        <v>102</v>
      </c>
      <c r="C89" s="3" t="s">
        <v>36</v>
      </c>
      <c r="D89" s="3" t="s">
        <v>15</v>
      </c>
      <c r="E89" s="1">
        <v>52.23</v>
      </c>
      <c r="F89" s="1">
        <v>2.12</v>
      </c>
      <c r="G89" s="1">
        <v>58.11</v>
      </c>
      <c r="H89" s="1">
        <v>29.03</v>
      </c>
      <c r="I89">
        <f t="shared" si="5"/>
        <v>0</v>
      </c>
      <c r="J89">
        <f t="shared" si="6"/>
        <v>0</v>
      </c>
      <c r="K89">
        <f t="shared" si="7"/>
        <v>0</v>
      </c>
      <c r="L89">
        <f t="shared" si="8"/>
        <v>0</v>
      </c>
      <c r="M89">
        <f t="shared" si="9"/>
        <v>0</v>
      </c>
    </row>
    <row r="90" spans="1:13" x14ac:dyDescent="0.2">
      <c r="A90" s="2">
        <v>35</v>
      </c>
      <c r="B90" s="3" t="s">
        <v>54</v>
      </c>
      <c r="C90" s="3" t="s">
        <v>36</v>
      </c>
      <c r="D90" s="3" t="s">
        <v>4</v>
      </c>
      <c r="E90" s="1">
        <v>86.62</v>
      </c>
      <c r="F90" s="1">
        <v>2.81</v>
      </c>
      <c r="G90" s="1">
        <v>85.47</v>
      </c>
      <c r="H90" s="1">
        <v>75.77</v>
      </c>
      <c r="I90">
        <f t="shared" si="5"/>
        <v>0</v>
      </c>
      <c r="J90">
        <f t="shared" si="6"/>
        <v>0</v>
      </c>
      <c r="K90">
        <f t="shared" si="7"/>
        <v>0</v>
      </c>
      <c r="L90">
        <f t="shared" si="8"/>
        <v>0</v>
      </c>
      <c r="M90">
        <f t="shared" si="9"/>
        <v>0</v>
      </c>
    </row>
    <row r="91" spans="1:13" ht="25.5" x14ac:dyDescent="0.2">
      <c r="A91" s="2">
        <v>17</v>
      </c>
      <c r="B91" s="3" t="s">
        <v>30</v>
      </c>
      <c r="C91" s="3" t="s">
        <v>31</v>
      </c>
      <c r="D91" s="3" t="s">
        <v>8</v>
      </c>
      <c r="E91" s="1">
        <v>131.63999999999999</v>
      </c>
      <c r="F91" s="1">
        <v>8.84</v>
      </c>
      <c r="G91" s="1">
        <v>87.84</v>
      </c>
      <c r="H91" s="1">
        <v>116.64</v>
      </c>
      <c r="I91">
        <f t="shared" si="5"/>
        <v>0</v>
      </c>
      <c r="J91">
        <f t="shared" si="6"/>
        <v>0</v>
      </c>
      <c r="K91">
        <f t="shared" si="7"/>
        <v>0</v>
      </c>
      <c r="L91">
        <f t="shared" si="8"/>
        <v>0</v>
      </c>
      <c r="M91">
        <f t="shared" si="9"/>
        <v>0</v>
      </c>
    </row>
    <row r="92" spans="1:13" x14ac:dyDescent="0.2">
      <c r="A92" s="2">
        <v>53</v>
      </c>
      <c r="B92" s="3" t="s">
        <v>78</v>
      </c>
      <c r="C92" s="3" t="s">
        <v>31</v>
      </c>
      <c r="D92" s="3" t="s">
        <v>6</v>
      </c>
      <c r="E92" s="1">
        <v>90.1</v>
      </c>
      <c r="F92" s="1">
        <v>1</v>
      </c>
      <c r="G92" s="1">
        <v>456.13</v>
      </c>
      <c r="H92" s="1">
        <v>41.39</v>
      </c>
      <c r="I92">
        <f t="shared" si="5"/>
        <v>0</v>
      </c>
      <c r="J92">
        <f t="shared" si="6"/>
        <v>0</v>
      </c>
      <c r="K92">
        <f t="shared" si="7"/>
        <v>0</v>
      </c>
      <c r="L92">
        <f t="shared" si="8"/>
        <v>0</v>
      </c>
      <c r="M92">
        <f t="shared" si="9"/>
        <v>0</v>
      </c>
    </row>
    <row r="93" spans="1:13" x14ac:dyDescent="0.2">
      <c r="A93" s="2">
        <v>88</v>
      </c>
      <c r="B93" s="3" t="s">
        <v>121</v>
      </c>
      <c r="C93" s="3" t="s">
        <v>31</v>
      </c>
      <c r="D93" s="3" t="s">
        <v>122</v>
      </c>
      <c r="E93" s="1">
        <v>96.94</v>
      </c>
      <c r="F93" s="1">
        <v>1.45</v>
      </c>
      <c r="G93" s="1">
        <v>40.11</v>
      </c>
      <c r="H93" s="1">
        <v>37.19</v>
      </c>
      <c r="I93">
        <f t="shared" si="5"/>
        <v>0</v>
      </c>
      <c r="J93">
        <f t="shared" si="6"/>
        <v>0</v>
      </c>
      <c r="K93">
        <f t="shared" si="7"/>
        <v>0</v>
      </c>
      <c r="L93">
        <f t="shared" si="8"/>
        <v>0</v>
      </c>
      <c r="M93">
        <f t="shared" si="9"/>
        <v>0</v>
      </c>
    </row>
    <row r="94" spans="1:13" x14ac:dyDescent="0.2">
      <c r="A94" s="2">
        <v>100</v>
      </c>
      <c r="B94" s="3" t="s">
        <v>136</v>
      </c>
      <c r="C94" s="3" t="s">
        <v>31</v>
      </c>
      <c r="D94" s="3" t="s">
        <v>15</v>
      </c>
      <c r="E94" s="1">
        <v>38.17</v>
      </c>
      <c r="F94" s="1">
        <v>2.0499999999999998</v>
      </c>
      <c r="G94" s="1">
        <v>54.04</v>
      </c>
      <c r="H94" s="1">
        <v>19.64</v>
      </c>
      <c r="I94">
        <f t="shared" si="5"/>
        <v>0</v>
      </c>
      <c r="J94">
        <f t="shared" si="6"/>
        <v>0</v>
      </c>
      <c r="K94">
        <f t="shared" si="7"/>
        <v>0</v>
      </c>
      <c r="L94">
        <f t="shared" si="8"/>
        <v>0</v>
      </c>
      <c r="M94">
        <f t="shared" si="9"/>
        <v>0</v>
      </c>
    </row>
    <row r="95" spans="1:13" x14ac:dyDescent="0.2">
      <c r="A95" s="2">
        <v>18</v>
      </c>
      <c r="B95" s="3" t="s">
        <v>32</v>
      </c>
      <c r="C95" s="3" t="s">
        <v>31</v>
      </c>
      <c r="D95" s="3" t="s">
        <v>2</v>
      </c>
      <c r="E95" s="1">
        <v>47.74</v>
      </c>
      <c r="F95" s="1">
        <v>4.7300000000000004</v>
      </c>
      <c r="G95" s="1">
        <v>745.09</v>
      </c>
      <c r="H95" s="1">
        <v>59.29</v>
      </c>
      <c r="I95">
        <f t="shared" si="5"/>
        <v>0</v>
      </c>
      <c r="J95">
        <f t="shared" si="6"/>
        <v>0</v>
      </c>
      <c r="K95">
        <f t="shared" si="7"/>
        <v>0</v>
      </c>
      <c r="L95">
        <f t="shared" si="8"/>
        <v>0</v>
      </c>
      <c r="M95">
        <f t="shared" si="9"/>
        <v>0</v>
      </c>
    </row>
    <row r="96" spans="1:13" x14ac:dyDescent="0.2">
      <c r="A96" s="2">
        <v>68</v>
      </c>
      <c r="B96" s="3" t="s">
        <v>95</v>
      </c>
      <c r="C96" s="3" t="s">
        <v>31</v>
      </c>
      <c r="D96" s="3" t="s">
        <v>2</v>
      </c>
      <c r="E96" s="1">
        <v>31.77</v>
      </c>
      <c r="F96" s="1">
        <v>1.1200000000000001</v>
      </c>
      <c r="G96" s="1">
        <v>531.01</v>
      </c>
      <c r="H96" s="1">
        <v>38.799999999999997</v>
      </c>
      <c r="I96">
        <f t="shared" si="5"/>
        <v>0</v>
      </c>
      <c r="J96">
        <f t="shared" si="6"/>
        <v>0</v>
      </c>
      <c r="K96">
        <f t="shared" si="7"/>
        <v>0</v>
      </c>
      <c r="L96">
        <f t="shared" si="8"/>
        <v>0</v>
      </c>
      <c r="M96">
        <f t="shared" si="9"/>
        <v>0</v>
      </c>
    </row>
    <row r="97" spans="1:13" ht="25.5" x14ac:dyDescent="0.2">
      <c r="A97" s="2">
        <v>54</v>
      </c>
      <c r="B97" s="3" t="s">
        <v>79</v>
      </c>
      <c r="C97" s="3" t="s">
        <v>31</v>
      </c>
      <c r="D97" s="3" t="s">
        <v>2</v>
      </c>
      <c r="E97" s="1">
        <v>35.520000000000003</v>
      </c>
      <c r="F97" s="1">
        <v>1.61</v>
      </c>
      <c r="G97" s="1">
        <v>526.54</v>
      </c>
      <c r="H97" s="1">
        <v>40.61</v>
      </c>
      <c r="I97">
        <f t="shared" si="5"/>
        <v>0</v>
      </c>
      <c r="J97">
        <f t="shared" si="6"/>
        <v>0</v>
      </c>
      <c r="K97">
        <f t="shared" si="7"/>
        <v>0</v>
      </c>
      <c r="L97">
        <f t="shared" si="8"/>
        <v>0</v>
      </c>
      <c r="M97">
        <f t="shared" si="9"/>
        <v>0</v>
      </c>
    </row>
    <row r="98" spans="1:13" ht="38.25" x14ac:dyDescent="0.2">
      <c r="A98" s="2">
        <v>83</v>
      </c>
      <c r="B98" s="3" t="s">
        <v>113</v>
      </c>
      <c r="C98" s="3" t="s">
        <v>114</v>
      </c>
      <c r="D98" s="3" t="s">
        <v>29</v>
      </c>
      <c r="E98" s="1">
        <v>37.049999999999997</v>
      </c>
      <c r="F98" s="1">
        <v>4.5199999999999996</v>
      </c>
      <c r="G98" s="1">
        <v>29.15</v>
      </c>
      <c r="H98" s="1">
        <v>104.3</v>
      </c>
      <c r="I98">
        <f t="shared" si="5"/>
        <v>0</v>
      </c>
      <c r="J98">
        <f t="shared" si="6"/>
        <v>0</v>
      </c>
      <c r="K98">
        <f t="shared" si="7"/>
        <v>0</v>
      </c>
      <c r="L98">
        <f t="shared" si="8"/>
        <v>0</v>
      </c>
      <c r="M98">
        <f t="shared" si="9"/>
        <v>0</v>
      </c>
    </row>
    <row r="99" spans="1:13" ht="25.5" x14ac:dyDescent="0.2">
      <c r="A99" s="2">
        <v>55</v>
      </c>
      <c r="B99" s="3" t="s">
        <v>80</v>
      </c>
      <c r="C99" s="3" t="s">
        <v>81</v>
      </c>
      <c r="D99" s="3" t="s">
        <v>8</v>
      </c>
      <c r="E99" s="1">
        <v>29.53</v>
      </c>
      <c r="F99" s="1">
        <v>5.67</v>
      </c>
      <c r="G99" s="1">
        <v>58.36</v>
      </c>
      <c r="H99" s="1">
        <v>90.49</v>
      </c>
      <c r="I99">
        <f t="shared" si="5"/>
        <v>0</v>
      </c>
      <c r="J99">
        <f t="shared" si="6"/>
        <v>0</v>
      </c>
      <c r="K99">
        <f t="shared" si="7"/>
        <v>0</v>
      </c>
      <c r="L99">
        <f t="shared" si="8"/>
        <v>0</v>
      </c>
      <c r="M99">
        <f t="shared" si="9"/>
        <v>0</v>
      </c>
    </row>
    <row r="100" spans="1:13" ht="25.5" x14ac:dyDescent="0.2">
      <c r="A100" s="2">
        <v>81</v>
      </c>
      <c r="B100" s="3" t="s">
        <v>111</v>
      </c>
      <c r="C100" s="3" t="s">
        <v>81</v>
      </c>
      <c r="D100" s="3" t="s">
        <v>8</v>
      </c>
      <c r="E100" s="1">
        <v>39.159999999999997</v>
      </c>
      <c r="F100" s="1">
        <v>1.94</v>
      </c>
      <c r="G100" s="1">
        <v>45.32</v>
      </c>
      <c r="H100" s="1">
        <v>50.09</v>
      </c>
      <c r="I100">
        <f t="shared" si="5"/>
        <v>0</v>
      </c>
      <c r="J100">
        <f t="shared" si="6"/>
        <v>0</v>
      </c>
      <c r="K100">
        <f t="shared" si="7"/>
        <v>0</v>
      </c>
      <c r="L100">
        <f t="shared" si="8"/>
        <v>0</v>
      </c>
      <c r="M100">
        <f t="shared" si="9"/>
        <v>0</v>
      </c>
    </row>
    <row r="101" spans="1:13" ht="25.5" x14ac:dyDescent="0.2">
      <c r="A101" s="2">
        <v>79</v>
      </c>
      <c r="B101" s="3" t="s">
        <v>108</v>
      </c>
      <c r="C101" s="3" t="s">
        <v>109</v>
      </c>
      <c r="D101" s="3" t="s">
        <v>2</v>
      </c>
      <c r="E101" s="1">
        <v>18.82</v>
      </c>
      <c r="F101" s="1">
        <v>2.2799999999999998</v>
      </c>
      <c r="G101" s="1">
        <v>305.01</v>
      </c>
      <c r="H101" s="1">
        <v>31.82</v>
      </c>
      <c r="I101">
        <f t="shared" si="5"/>
        <v>0</v>
      </c>
      <c r="J101">
        <f t="shared" si="6"/>
        <v>0</v>
      </c>
      <c r="K101">
        <f t="shared" si="7"/>
        <v>0</v>
      </c>
      <c r="L101">
        <f t="shared" si="8"/>
        <v>0</v>
      </c>
      <c r="M101">
        <f t="shared" si="9"/>
        <v>0</v>
      </c>
    </row>
    <row r="102" spans="1:13" x14ac:dyDescent="0.2">
      <c r="A102" s="2">
        <v>76</v>
      </c>
      <c r="B102" s="3" t="s">
        <v>104</v>
      </c>
      <c r="C102" s="3" t="s">
        <v>105</v>
      </c>
      <c r="D102" s="3" t="s">
        <v>4</v>
      </c>
      <c r="E102" s="1">
        <v>37.57</v>
      </c>
      <c r="F102" s="1">
        <v>1.19</v>
      </c>
      <c r="G102" s="1">
        <v>62.8</v>
      </c>
      <c r="H102" s="1">
        <v>58.41</v>
      </c>
      <c r="I102">
        <f t="shared" si="5"/>
        <v>0</v>
      </c>
      <c r="J102">
        <f t="shared" si="6"/>
        <v>0</v>
      </c>
      <c r="K102">
        <f t="shared" si="7"/>
        <v>0</v>
      </c>
      <c r="L102">
        <f t="shared" si="8"/>
        <v>0</v>
      </c>
      <c r="M102">
        <f t="shared" si="9"/>
        <v>0</v>
      </c>
    </row>
    <row r="103" spans="1:13" x14ac:dyDescent="0.2">
      <c r="A103" s="2">
        <v>99</v>
      </c>
      <c r="B103" s="3" t="s">
        <v>134</v>
      </c>
      <c r="C103" s="3" t="s">
        <v>135</v>
      </c>
      <c r="D103" s="3" t="s">
        <v>2</v>
      </c>
      <c r="E103" s="1">
        <v>19.62</v>
      </c>
      <c r="F103" s="1">
        <v>1.36</v>
      </c>
      <c r="G103" s="1">
        <v>368.37</v>
      </c>
      <c r="H103" s="1">
        <v>21.64</v>
      </c>
      <c r="I103">
        <f t="shared" si="5"/>
        <v>0</v>
      </c>
      <c r="J103">
        <f t="shared" si="6"/>
        <v>0</v>
      </c>
      <c r="K103">
        <f t="shared" si="7"/>
        <v>0</v>
      </c>
      <c r="L103">
        <f t="shared" si="8"/>
        <v>0</v>
      </c>
      <c r="M103">
        <f t="shared" si="9"/>
        <v>0</v>
      </c>
    </row>
    <row r="104" spans="1:13" x14ac:dyDescent="0.2">
      <c r="A104" s="2">
        <v>86</v>
      </c>
      <c r="B104" s="3" t="s">
        <v>117</v>
      </c>
      <c r="C104" s="3" t="s">
        <v>118</v>
      </c>
      <c r="D104" s="3" t="s">
        <v>2</v>
      </c>
      <c r="E104" s="1">
        <v>15.34</v>
      </c>
      <c r="F104" s="1">
        <v>2.69</v>
      </c>
      <c r="G104" s="1">
        <v>269.94</v>
      </c>
      <c r="H104" s="1">
        <v>36.51</v>
      </c>
      <c r="I104">
        <f t="shared" si="5"/>
        <v>0</v>
      </c>
      <c r="J104">
        <f t="shared" si="6"/>
        <v>0</v>
      </c>
      <c r="K104">
        <f t="shared" si="7"/>
        <v>0</v>
      </c>
      <c r="L104">
        <f t="shared" si="8"/>
        <v>0</v>
      </c>
      <c r="M104">
        <f t="shared" si="9"/>
        <v>0</v>
      </c>
    </row>
    <row r="107" spans="1:13" x14ac:dyDescent="0.2">
      <c r="A107" s="27" t="s">
        <v>149</v>
      </c>
      <c r="B107" s="3" t="s">
        <v>150</v>
      </c>
    </row>
    <row r="108" spans="1:13" x14ac:dyDescent="0.2">
      <c r="A108" s="24" t="s">
        <v>141</v>
      </c>
      <c r="B108" s="24" t="s">
        <v>144</v>
      </c>
    </row>
    <row r="109" spans="1:13" x14ac:dyDescent="0.2">
      <c r="A109" s="25" t="s">
        <v>147</v>
      </c>
      <c r="B109" s="25" t="s">
        <v>148</v>
      </c>
    </row>
    <row r="110" spans="1:13" x14ac:dyDescent="0.2">
      <c r="A110" t="s">
        <v>140</v>
      </c>
      <c r="B110" t="s">
        <v>137</v>
      </c>
      <c r="C110" t="s">
        <v>138</v>
      </c>
    </row>
    <row r="111" spans="1:13" x14ac:dyDescent="0.2">
      <c r="A111" s="2">
        <v>10</v>
      </c>
      <c r="B111" s="3" t="s">
        <v>18</v>
      </c>
      <c r="C111" s="3" t="s">
        <v>1</v>
      </c>
    </row>
    <row r="112" spans="1:13" x14ac:dyDescent="0.2">
      <c r="A112" s="2">
        <v>4</v>
      </c>
      <c r="B112" s="3" t="s">
        <v>7</v>
      </c>
      <c r="C112" s="3" t="s">
        <v>1</v>
      </c>
      <c r="H112" s="7" t="s">
        <v>167</v>
      </c>
      <c r="I112" s="9"/>
    </row>
    <row r="113" spans="1:12" x14ac:dyDescent="0.2">
      <c r="A113" s="2">
        <v>2</v>
      </c>
      <c r="B113" s="3" t="s">
        <v>3</v>
      </c>
      <c r="C113" s="3" t="s">
        <v>1</v>
      </c>
      <c r="H113" s="10"/>
      <c r="I113" s="9" t="s">
        <v>30</v>
      </c>
    </row>
    <row r="114" spans="1:12" x14ac:dyDescent="0.2">
      <c r="A114" s="2">
        <v>1</v>
      </c>
      <c r="B114" s="3" t="s">
        <v>0</v>
      </c>
      <c r="C114" s="3" t="s">
        <v>1</v>
      </c>
      <c r="H114" s="10" t="s">
        <v>2</v>
      </c>
      <c r="I114" s="11">
        <v>744.83</v>
      </c>
    </row>
    <row r="115" spans="1:12" x14ac:dyDescent="0.2">
      <c r="H115" s="12" t="s">
        <v>132</v>
      </c>
      <c r="I115" s="13">
        <v>32.630000000000003</v>
      </c>
    </row>
    <row r="116" spans="1:12" x14ac:dyDescent="0.2">
      <c r="H116" s="12" t="s">
        <v>4</v>
      </c>
      <c r="I116" s="13">
        <v>289.41000000000003</v>
      </c>
    </row>
    <row r="117" spans="1:12" x14ac:dyDescent="0.2">
      <c r="A117" s="27" t="s">
        <v>151</v>
      </c>
      <c r="H117" s="12" t="s">
        <v>15</v>
      </c>
      <c r="I117" s="13">
        <v>1012.84</v>
      </c>
    </row>
    <row r="118" spans="1:12" x14ac:dyDescent="0.2">
      <c r="A118" t="s">
        <v>152</v>
      </c>
      <c r="B118">
        <v>0.7</v>
      </c>
      <c r="H118" s="12" t="s">
        <v>17</v>
      </c>
      <c r="I118" s="13">
        <v>461.06999999999994</v>
      </c>
      <c r="K118" s="27" t="s">
        <v>169</v>
      </c>
    </row>
    <row r="119" spans="1:12" x14ac:dyDescent="0.2">
      <c r="H119" s="12" t="s">
        <v>41</v>
      </c>
      <c r="I119" s="13">
        <v>197.26000000000002</v>
      </c>
    </row>
    <row r="120" spans="1:12" x14ac:dyDescent="0.2">
      <c r="A120" t="s">
        <v>153</v>
      </c>
      <c r="B120" t="s">
        <v>154</v>
      </c>
      <c r="C120" t="s">
        <v>155</v>
      </c>
      <c r="D120" t="s">
        <v>156</v>
      </c>
      <c r="H120" s="12" t="s">
        <v>122</v>
      </c>
      <c r="I120" s="13">
        <v>96.94</v>
      </c>
      <c r="K120" s="26" t="s">
        <v>168</v>
      </c>
      <c r="L120" s="26"/>
    </row>
    <row r="121" spans="1:12" x14ac:dyDescent="0.2">
      <c r="A121" s="21" t="b">
        <f>E5&gt;=($B$118 * MAX($E$5:$E$104))</f>
        <v>0</v>
      </c>
      <c r="B121" s="21" t="b">
        <f>F5&gt;=($B$118 * MAX($F$5:$F$104))</f>
        <v>0</v>
      </c>
      <c r="C121" s="21" t="b">
        <f>G5&gt;=($B$118 * MAX($G$5:$G$104))</f>
        <v>0</v>
      </c>
      <c r="D121" s="21" t="b">
        <f>H5&gt;=($B$118 * MAX($H$5:$H$104))</f>
        <v>0</v>
      </c>
      <c r="H121" s="12" t="s">
        <v>38</v>
      </c>
      <c r="I121" s="13">
        <v>175.96</v>
      </c>
      <c r="K121" s="26" t="str">
        <f>INDEX(H114:H132,MATCH(MAX(I114:I132),I114:I132,0),1)</f>
        <v>Oil &amp; gas operations</v>
      </c>
      <c r="L121" s="26"/>
    </row>
    <row r="122" spans="1:12" x14ac:dyDescent="0.2">
      <c r="A122">
        <f>DCOUNT(forbesdb,,A120:A121)</f>
        <v>4</v>
      </c>
      <c r="B122">
        <f>DCOUNT(forbesdb,,B120:B121)</f>
        <v>3</v>
      </c>
      <c r="C122">
        <f>DCOUNT(forbesdb,,C120:C121)</f>
        <v>2</v>
      </c>
      <c r="D122">
        <f>DCOUNT(forbesdb,,D120:D121)</f>
        <v>6</v>
      </c>
      <c r="H122" s="12" t="s">
        <v>67</v>
      </c>
      <c r="I122" s="13">
        <v>46.99</v>
      </c>
    </row>
    <row r="123" spans="1:12" x14ac:dyDescent="0.2">
      <c r="H123" s="12" t="s">
        <v>6</v>
      </c>
      <c r="I123" s="13">
        <v>354.52</v>
      </c>
    </row>
    <row r="124" spans="1:12" x14ac:dyDescent="0.2">
      <c r="H124" s="12" t="s">
        <v>64</v>
      </c>
      <c r="I124" s="13">
        <v>110.72</v>
      </c>
    </row>
    <row r="125" spans="1:12" x14ac:dyDescent="0.2">
      <c r="H125" s="12" t="s">
        <v>8</v>
      </c>
      <c r="I125" s="13">
        <v>1065.21</v>
      </c>
    </row>
    <row r="126" spans="1:12" x14ac:dyDescent="0.2">
      <c r="H126" s="12" t="s">
        <v>19</v>
      </c>
      <c r="I126" s="13">
        <v>319.22999999999996</v>
      </c>
    </row>
    <row r="127" spans="1:12" x14ac:dyDescent="0.2">
      <c r="H127" s="12" t="s">
        <v>70</v>
      </c>
      <c r="I127" s="13">
        <v>80.36</v>
      </c>
    </row>
    <row r="128" spans="1:12" x14ac:dyDescent="0.2">
      <c r="H128" s="12" t="s">
        <v>50</v>
      </c>
      <c r="I128" s="13">
        <v>34.270000000000003</v>
      </c>
    </row>
    <row r="129" spans="1:9" x14ac:dyDescent="0.2">
      <c r="A129" s="6"/>
      <c r="H129" s="12" t="s">
        <v>29</v>
      </c>
      <c r="I129" s="13">
        <v>219.06</v>
      </c>
    </row>
    <row r="130" spans="1:9" x14ac:dyDescent="0.2">
      <c r="H130" s="12" t="s">
        <v>44</v>
      </c>
      <c r="I130" s="13">
        <v>251.48</v>
      </c>
    </row>
    <row r="131" spans="1:9" x14ac:dyDescent="0.2">
      <c r="A131" s="27" t="s">
        <v>170</v>
      </c>
      <c r="H131" s="12" t="s">
        <v>97</v>
      </c>
      <c r="I131" s="13">
        <v>74.039999999999992</v>
      </c>
    </row>
    <row r="132" spans="1:9" x14ac:dyDescent="0.2">
      <c r="A132" t="s">
        <v>171</v>
      </c>
      <c r="H132" s="12" t="s">
        <v>92</v>
      </c>
      <c r="I132" s="13">
        <v>126.28999999999999</v>
      </c>
    </row>
    <row r="133" spans="1:9" x14ac:dyDescent="0.2">
      <c r="A133" t="b">
        <f>OR((F5&gt;=0.2*E5),F5&gt;=0.1*G5)</f>
        <v>1</v>
      </c>
      <c r="H133" s="14" t="s">
        <v>146</v>
      </c>
      <c r="I133" s="15">
        <v>5693.1099999999988</v>
      </c>
    </row>
    <row r="136" spans="1:9" x14ac:dyDescent="0.2">
      <c r="A136" s="5" t="s">
        <v>140</v>
      </c>
      <c r="B136" s="5" t="s">
        <v>137</v>
      </c>
      <c r="C136" s="5" t="s">
        <v>138</v>
      </c>
      <c r="D136" s="5" t="s">
        <v>139</v>
      </c>
      <c r="E136" s="5" t="s">
        <v>141</v>
      </c>
      <c r="F136" s="5" t="s">
        <v>142</v>
      </c>
      <c r="G136" s="5" t="s">
        <v>143</v>
      </c>
      <c r="H136" s="5" t="s">
        <v>144</v>
      </c>
    </row>
    <row r="137" spans="1:9" x14ac:dyDescent="0.2">
      <c r="A137" s="2"/>
      <c r="B137" s="3"/>
      <c r="C137" s="3"/>
      <c r="D137" s="3"/>
      <c r="E137" s="1"/>
      <c r="F137" s="1"/>
      <c r="G137" s="1"/>
      <c r="H137" s="1"/>
    </row>
    <row r="138" spans="1:9" x14ac:dyDescent="0.2">
      <c r="A138" s="2"/>
      <c r="B138" s="3"/>
      <c r="C138" s="3"/>
      <c r="D138" s="3"/>
      <c r="E138" s="1"/>
      <c r="F138" s="1"/>
      <c r="G138" s="1"/>
      <c r="H138" s="1"/>
    </row>
    <row r="139" spans="1:9" x14ac:dyDescent="0.2">
      <c r="A139" s="2"/>
      <c r="B139" s="3"/>
      <c r="C139" s="3"/>
      <c r="D139" s="3"/>
      <c r="E139" s="1"/>
      <c r="F139" s="1"/>
      <c r="G139" s="1"/>
      <c r="H139" s="1"/>
    </row>
    <row r="140" spans="1:9" x14ac:dyDescent="0.2">
      <c r="A140" s="2"/>
      <c r="B140" s="3"/>
      <c r="C140" s="3"/>
      <c r="D140" s="3"/>
      <c r="E140" s="1"/>
      <c r="F140" s="1"/>
      <c r="G140" s="1"/>
      <c r="H140" s="1"/>
    </row>
    <row r="141" spans="1:9" x14ac:dyDescent="0.2">
      <c r="A141" s="2"/>
      <c r="B141" s="3"/>
      <c r="C141" s="3"/>
      <c r="D141" s="3"/>
      <c r="E141" s="1"/>
      <c r="F141" s="1"/>
      <c r="G141" s="1"/>
      <c r="H141" s="1"/>
    </row>
    <row r="142" spans="1:9" x14ac:dyDescent="0.2">
      <c r="A142" s="2"/>
      <c r="B142" s="3"/>
      <c r="C142" s="3"/>
      <c r="D142" s="3"/>
      <c r="E142" s="1"/>
      <c r="F142" s="1"/>
      <c r="G142" s="1"/>
      <c r="H142" s="1"/>
    </row>
    <row r="143" spans="1:9" x14ac:dyDescent="0.2">
      <c r="A143" s="2"/>
      <c r="B143" s="3"/>
      <c r="C143" s="3"/>
      <c r="D143" s="3"/>
      <c r="E143" s="1"/>
      <c r="F143" s="1"/>
      <c r="G143" s="1"/>
      <c r="H143" s="1"/>
    </row>
    <row r="144" spans="1:9" x14ac:dyDescent="0.2">
      <c r="A144" s="2"/>
      <c r="B144" s="3"/>
      <c r="C144" s="3"/>
      <c r="D144" s="3"/>
      <c r="E144" s="1"/>
      <c r="F144" s="1"/>
      <c r="G144" s="1"/>
      <c r="H144" s="1"/>
    </row>
    <row r="145" spans="1:9" x14ac:dyDescent="0.2">
      <c r="A145" s="2"/>
      <c r="B145" s="3"/>
      <c r="C145" s="3"/>
      <c r="D145" s="3"/>
      <c r="E145" s="1"/>
      <c r="F145" s="1"/>
      <c r="G145" s="1"/>
      <c r="H145" s="1"/>
    </row>
    <row r="146" spans="1:9" x14ac:dyDescent="0.2">
      <c r="A146" s="2"/>
      <c r="B146" s="3"/>
      <c r="C146" s="3"/>
      <c r="D146" s="3"/>
      <c r="E146" s="1"/>
      <c r="F146" s="1"/>
      <c r="G146" s="1"/>
      <c r="H146" s="1"/>
    </row>
    <row r="147" spans="1:9" x14ac:dyDescent="0.2">
      <c r="A147" s="2"/>
      <c r="B147" s="3"/>
      <c r="C147" s="3"/>
      <c r="D147" s="3"/>
      <c r="E147" s="1"/>
      <c r="F147" s="1"/>
      <c r="G147" s="1"/>
      <c r="H147" s="1"/>
    </row>
    <row r="148" spans="1:9" x14ac:dyDescent="0.2">
      <c r="A148" s="2"/>
      <c r="B148" s="3"/>
      <c r="C148" s="3"/>
      <c r="D148" s="3"/>
      <c r="E148" s="1"/>
      <c r="F148" s="1"/>
      <c r="G148" s="1"/>
      <c r="H148" s="1"/>
    </row>
    <row r="149" spans="1:9" x14ac:dyDescent="0.2">
      <c r="A149" s="2"/>
      <c r="B149" s="3"/>
      <c r="C149" s="3"/>
      <c r="D149" s="3"/>
      <c r="E149" s="1"/>
      <c r="F149" s="1"/>
      <c r="G149" s="1"/>
      <c r="H149" s="1"/>
    </row>
    <row r="150" spans="1:9" x14ac:dyDescent="0.2">
      <c r="A150" s="2"/>
      <c r="B150" s="3"/>
      <c r="C150" s="3"/>
      <c r="D150" s="3"/>
      <c r="E150" s="1"/>
      <c r="F150" s="1"/>
      <c r="G150" s="1"/>
      <c r="H150" s="1"/>
    </row>
    <row r="151" spans="1:9" x14ac:dyDescent="0.2">
      <c r="A151" s="2"/>
      <c r="B151" s="3"/>
      <c r="C151" s="3"/>
      <c r="D151" s="3"/>
      <c r="E151" s="1"/>
      <c r="F151" s="1"/>
      <c r="G151" s="1"/>
      <c r="H151" s="1"/>
    </row>
    <row r="152" spans="1:9" x14ac:dyDescent="0.2">
      <c r="A152" s="2"/>
      <c r="B152" s="3"/>
      <c r="C152" s="3"/>
      <c r="D152" s="3"/>
      <c r="E152" s="1"/>
      <c r="F152" s="1"/>
      <c r="G152" s="1"/>
      <c r="H152" s="1"/>
    </row>
    <row r="153" spans="1:9" x14ac:dyDescent="0.2">
      <c r="A153" s="2"/>
      <c r="B153" s="3"/>
      <c r="C153" s="3"/>
      <c r="D153" s="3"/>
      <c r="E153" s="1"/>
      <c r="F153" s="1"/>
      <c r="G153" s="1"/>
      <c r="H153" s="1"/>
    </row>
    <row r="154" spans="1:9" x14ac:dyDescent="0.2">
      <c r="A154" s="2"/>
      <c r="B154" s="3"/>
      <c r="C154" s="3"/>
      <c r="D154" s="3"/>
      <c r="E154" s="1"/>
      <c r="F154" s="1"/>
      <c r="G154" s="1"/>
      <c r="H154" s="1"/>
    </row>
    <row r="156" spans="1:9" x14ac:dyDescent="0.2">
      <c r="A156" s="28"/>
      <c r="B156" s="28"/>
      <c r="C156" s="28"/>
      <c r="D156" s="28"/>
      <c r="E156" s="28"/>
      <c r="F156" s="28"/>
      <c r="G156" s="28"/>
      <c r="H156" s="28"/>
      <c r="I156" s="28"/>
    </row>
    <row r="157" spans="1:9" x14ac:dyDescent="0.2">
      <c r="A157" s="29"/>
      <c r="B157" s="30"/>
      <c r="C157" s="28"/>
      <c r="D157" s="28"/>
      <c r="E157" s="28"/>
      <c r="F157" s="28"/>
      <c r="G157" s="28"/>
      <c r="H157" s="28"/>
      <c r="I157" s="28"/>
    </row>
    <row r="158" spans="1:9" x14ac:dyDescent="0.2">
      <c r="A158" s="31"/>
      <c r="B158" s="31"/>
      <c r="C158" s="28"/>
      <c r="D158" s="28"/>
      <c r="E158" s="28"/>
      <c r="F158" s="28"/>
      <c r="G158" s="28"/>
      <c r="H158" s="28"/>
      <c r="I158" s="28"/>
    </row>
    <row r="159" spans="1:9" x14ac:dyDescent="0.2">
      <c r="A159" s="28"/>
      <c r="B159" s="28"/>
      <c r="C159" s="28"/>
      <c r="D159" s="28"/>
      <c r="E159" s="28"/>
      <c r="F159" s="28"/>
      <c r="G159" s="28"/>
      <c r="H159" s="28"/>
      <c r="I159" s="28"/>
    </row>
    <row r="160" spans="1:9" x14ac:dyDescent="0.2">
      <c r="A160" s="28"/>
      <c r="B160" s="28"/>
      <c r="C160" s="28"/>
      <c r="D160" s="28"/>
      <c r="E160" s="28"/>
      <c r="F160" s="28"/>
      <c r="G160" s="28"/>
      <c r="H160" s="28"/>
      <c r="I160" s="28"/>
    </row>
    <row r="161" spans="1:9" x14ac:dyDescent="0.2">
      <c r="A161" s="32"/>
      <c r="B161" s="30"/>
      <c r="C161" s="30"/>
      <c r="D161" s="28"/>
      <c r="E161" s="28"/>
      <c r="F161" s="28"/>
      <c r="G161" s="28"/>
      <c r="H161" s="28"/>
      <c r="I161" s="28"/>
    </row>
    <row r="162" spans="1:9" x14ac:dyDescent="0.2">
      <c r="A162" s="32"/>
      <c r="B162" s="30"/>
      <c r="C162" s="30"/>
      <c r="D162" s="28"/>
      <c r="E162" s="28"/>
      <c r="F162" s="28"/>
      <c r="G162" s="28"/>
      <c r="H162" s="28"/>
      <c r="I162" s="28"/>
    </row>
    <row r="163" spans="1:9" x14ac:dyDescent="0.2">
      <c r="A163" s="32"/>
      <c r="B163" s="30"/>
      <c r="C163" s="30"/>
      <c r="D163" s="28"/>
      <c r="E163" s="28"/>
      <c r="F163" s="28"/>
      <c r="G163" s="28"/>
      <c r="H163" s="28"/>
      <c r="I163" s="28"/>
    </row>
    <row r="164" spans="1:9" x14ac:dyDescent="0.2">
      <c r="A164" s="32"/>
      <c r="B164" s="30"/>
      <c r="C164" s="30"/>
      <c r="D164" s="28"/>
      <c r="E164" s="28"/>
      <c r="F164" s="28"/>
      <c r="G164" s="28"/>
      <c r="H164" s="28"/>
      <c r="I164" s="28"/>
    </row>
    <row r="165" spans="1:9" x14ac:dyDescent="0.2">
      <c r="A165" s="28"/>
      <c r="B165" s="28"/>
      <c r="C165" s="28"/>
      <c r="D165" s="28"/>
      <c r="E165" s="28"/>
      <c r="F165" s="28"/>
      <c r="G165" s="28"/>
      <c r="H165" s="28"/>
      <c r="I165" s="28"/>
    </row>
    <row r="166" spans="1:9" x14ac:dyDescent="0.2">
      <c r="A166" s="28"/>
      <c r="B166" s="28"/>
      <c r="C166" s="28"/>
      <c r="D166" s="28"/>
      <c r="E166" s="28"/>
      <c r="F166" s="28"/>
      <c r="G166" s="28"/>
      <c r="H166" s="28"/>
      <c r="I166" s="28"/>
    </row>
    <row r="167" spans="1:9" x14ac:dyDescent="0.2">
      <c r="A167" s="29"/>
      <c r="B167" s="28"/>
      <c r="C167" s="28"/>
      <c r="D167" s="28"/>
      <c r="E167" s="28"/>
      <c r="F167" s="28"/>
      <c r="G167" s="28"/>
      <c r="H167" s="28"/>
      <c r="I167" s="28"/>
    </row>
    <row r="168" spans="1:9" x14ac:dyDescent="0.2">
      <c r="A168" s="28"/>
      <c r="B168" s="28"/>
      <c r="C168" s="28"/>
      <c r="D168" s="28"/>
      <c r="E168" s="28"/>
      <c r="F168" s="28"/>
      <c r="G168" s="28"/>
      <c r="H168" s="28"/>
      <c r="I168" s="28"/>
    </row>
    <row r="169" spans="1:9" x14ac:dyDescent="0.2">
      <c r="A169" s="28"/>
      <c r="B169" s="28"/>
      <c r="C169" s="28"/>
      <c r="D169" s="28"/>
      <c r="E169" s="28"/>
      <c r="F169" s="28"/>
      <c r="G169" s="28"/>
      <c r="H169" s="28"/>
      <c r="I169" s="28"/>
    </row>
    <row r="170" spans="1:9" x14ac:dyDescent="0.2">
      <c r="A170" s="28"/>
      <c r="B170" s="28"/>
      <c r="C170" s="28"/>
      <c r="D170" s="28"/>
      <c r="E170" s="28"/>
      <c r="F170" s="28"/>
      <c r="G170" s="28"/>
      <c r="H170" s="28"/>
      <c r="I170" s="28"/>
    </row>
    <row r="171" spans="1:9" x14ac:dyDescent="0.2">
      <c r="A171" s="33"/>
      <c r="B171" s="33"/>
      <c r="C171" s="33"/>
      <c r="D171" s="33"/>
      <c r="E171" s="28"/>
      <c r="F171" s="28"/>
      <c r="G171" s="28"/>
      <c r="H171" s="28"/>
      <c r="I171" s="28"/>
    </row>
    <row r="172" spans="1:9" x14ac:dyDescent="0.2">
      <c r="A172" s="28"/>
      <c r="B172" s="28"/>
      <c r="C172" s="28"/>
      <c r="D172" s="28"/>
      <c r="E172" s="28"/>
      <c r="F172" s="28"/>
      <c r="G172" s="28"/>
      <c r="H172" s="28"/>
      <c r="I172" s="28"/>
    </row>
    <row r="173" spans="1:9" x14ac:dyDescent="0.2">
      <c r="A173" s="28"/>
      <c r="B173" s="28"/>
      <c r="C173" s="28"/>
      <c r="D173" s="28"/>
      <c r="E173" s="28"/>
      <c r="F173" s="28"/>
      <c r="G173" s="28"/>
      <c r="H173" s="28"/>
      <c r="I173" s="28"/>
    </row>
    <row r="174" spans="1:9" x14ac:dyDescent="0.2">
      <c r="A174" s="28"/>
      <c r="B174" s="28"/>
      <c r="C174" s="28"/>
      <c r="D174" s="28"/>
      <c r="E174" s="28"/>
      <c r="F174" s="28"/>
      <c r="G174" s="28"/>
      <c r="H174" s="28"/>
      <c r="I174" s="28"/>
    </row>
    <row r="175" spans="1:9" x14ac:dyDescent="0.2">
      <c r="A175" s="28"/>
      <c r="B175" s="28"/>
      <c r="C175" s="28"/>
      <c r="D175" s="28"/>
      <c r="E175" s="28"/>
      <c r="F175" s="28"/>
      <c r="G175" s="28"/>
      <c r="H175" s="28"/>
      <c r="I175" s="28"/>
    </row>
    <row r="176" spans="1:9" x14ac:dyDescent="0.2">
      <c r="A176" s="28"/>
      <c r="B176" s="28"/>
      <c r="C176" s="28"/>
      <c r="D176" s="28"/>
      <c r="E176" s="28"/>
      <c r="F176" s="28"/>
      <c r="G176" s="28"/>
      <c r="H176" s="28"/>
      <c r="I176" s="28"/>
    </row>
    <row r="177" spans="1:9" x14ac:dyDescent="0.2">
      <c r="A177" s="28"/>
      <c r="B177" s="28"/>
      <c r="C177" s="28"/>
      <c r="D177" s="28"/>
      <c r="E177" s="28"/>
      <c r="F177" s="28"/>
      <c r="G177" s="28"/>
      <c r="H177" s="28"/>
      <c r="I177" s="28"/>
    </row>
    <row r="178" spans="1:9" x14ac:dyDescent="0.2">
      <c r="A178" s="28"/>
      <c r="B178" s="28"/>
      <c r="C178" s="28"/>
      <c r="D178" s="28"/>
      <c r="E178" s="28"/>
      <c r="F178" s="28"/>
      <c r="G178" s="28"/>
      <c r="H178" s="28"/>
      <c r="I178" s="28"/>
    </row>
    <row r="179" spans="1:9" x14ac:dyDescent="0.2">
      <c r="A179" s="29"/>
      <c r="B179" s="28"/>
      <c r="C179" s="28"/>
      <c r="D179" s="28"/>
      <c r="E179" s="28"/>
      <c r="F179" s="28"/>
      <c r="G179" s="28"/>
      <c r="H179" s="28"/>
      <c r="I179" s="28"/>
    </row>
    <row r="180" spans="1:9" x14ac:dyDescent="0.2">
      <c r="A180" s="28"/>
      <c r="B180" s="28"/>
      <c r="C180" s="28"/>
      <c r="D180" s="28"/>
      <c r="E180" s="28"/>
      <c r="F180" s="28"/>
      <c r="G180" s="28"/>
      <c r="H180" s="28"/>
      <c r="I180" s="28"/>
    </row>
    <row r="181" spans="1:9" x14ac:dyDescent="0.2">
      <c r="A181" s="29"/>
      <c r="B181" s="28"/>
      <c r="C181" s="28"/>
      <c r="D181" s="28"/>
      <c r="E181" s="28"/>
      <c r="F181" s="28"/>
      <c r="G181" s="28"/>
      <c r="H181" s="28"/>
      <c r="I181" s="28"/>
    </row>
    <row r="182" spans="1:9" x14ac:dyDescent="0.2">
      <c r="A182" s="28"/>
      <c r="B182" s="28"/>
      <c r="C182" s="28"/>
      <c r="D182" s="28"/>
      <c r="E182" s="28"/>
      <c r="F182" s="28"/>
      <c r="G182" s="28"/>
      <c r="H182" s="28"/>
      <c r="I182" s="28"/>
    </row>
    <row r="183" spans="1:9" x14ac:dyDescent="0.2">
      <c r="A183" s="28"/>
      <c r="B183" s="28"/>
      <c r="C183" s="28"/>
      <c r="D183" s="28"/>
      <c r="E183" s="28"/>
      <c r="F183" s="28"/>
      <c r="G183" s="28"/>
      <c r="H183" s="28"/>
      <c r="I183" s="28"/>
    </row>
    <row r="184" spans="1:9" x14ac:dyDescent="0.2">
      <c r="A184" s="28"/>
      <c r="B184" s="28"/>
      <c r="C184" s="28"/>
      <c r="D184" s="28"/>
      <c r="E184" s="28"/>
      <c r="F184" s="28"/>
      <c r="G184" s="28"/>
      <c r="H184" s="28"/>
      <c r="I184" s="28"/>
    </row>
    <row r="185" spans="1:9" x14ac:dyDescent="0.2">
      <c r="A185" s="28"/>
      <c r="B185" s="28"/>
      <c r="C185" s="28"/>
      <c r="D185" s="28"/>
      <c r="E185" s="28"/>
      <c r="F185" s="28"/>
      <c r="G185" s="28"/>
      <c r="H185" s="28"/>
      <c r="I185" s="28"/>
    </row>
    <row r="186" spans="1:9" x14ac:dyDescent="0.2">
      <c r="A186" s="28"/>
      <c r="B186" s="28"/>
      <c r="C186" s="28"/>
      <c r="D186" s="28"/>
      <c r="E186" s="28"/>
      <c r="F186" s="28"/>
      <c r="G186" s="28"/>
      <c r="H186" s="28"/>
      <c r="I186" s="28"/>
    </row>
  </sheetData>
  <phoneticPr fontId="0" type="noConversion"/>
  <conditionalFormatting sqref="B5:B104">
    <cfRule type="expression" dxfId="0" priority="1" stopIfTrue="1">
      <formula>AND(E5&gt;80,H5&gt;=200)</formula>
    </cfRule>
  </conditionalFormatting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Class1">
                <anchor moveWithCells="1" sizeWithCells="1">
                  <from>
                    <xdr:col>14</xdr:col>
                    <xdr:colOff>0</xdr:colOff>
                    <xdr:row>9</xdr:row>
                    <xdr:rowOff>95250</xdr:rowOff>
                  </from>
                  <to>
                    <xdr:col>15</xdr:col>
                    <xdr:colOff>323850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6" name="Button 36">
              <controlPr defaultSize="0" print="0" autoFill="0" autoPict="0" macro="[0]!QGdisplay">
                <anchor moveWithCells="1" sizeWithCells="1">
                  <from>
                    <xdr:col>1</xdr:col>
                    <xdr:colOff>952500</xdr:colOff>
                    <xdr:row>130</xdr:row>
                    <xdr:rowOff>38100</xdr:rowOff>
                  </from>
                  <to>
                    <xdr:col>2</xdr:col>
                    <xdr:colOff>809625</xdr:colOff>
                    <xdr:row>132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QG_erase">
                <anchor moveWithCells="1" sizeWithCells="1">
                  <from>
                    <xdr:col>3</xdr:col>
                    <xdr:colOff>85725</xdr:colOff>
                    <xdr:row>130</xdr:row>
                    <xdr:rowOff>76200</xdr:rowOff>
                  </from>
                  <to>
                    <xdr:col>3</xdr:col>
                    <xdr:colOff>1057275</xdr:colOff>
                    <xdr:row>132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8" name="Button 69">
              <controlPr defaultSize="0" print="0" autoFill="0" autoPict="0" macro="[0]!qeclass2">
                <anchor moveWithCells="1" sizeWithCells="1">
                  <from>
                    <xdr:col>14</xdr:col>
                    <xdr:colOff>9525</xdr:colOff>
                    <xdr:row>9</xdr:row>
                    <xdr:rowOff>457200</xdr:rowOff>
                  </from>
                  <to>
                    <xdr:col>15</xdr:col>
                    <xdr:colOff>323850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9" name="Button 70">
              <controlPr defaultSize="0" print="0" autoFill="0" autoPict="0" macro="[0]!qeclass3">
                <anchor moveWithCells="1" sizeWithCells="1">
                  <from>
                    <xdr:col>14</xdr:col>
                    <xdr:colOff>19050</xdr:colOff>
                    <xdr:row>10</xdr:row>
                    <xdr:rowOff>352425</xdr:rowOff>
                  </from>
                  <to>
                    <xdr:col>15</xdr:col>
                    <xdr:colOff>333375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Pivot-table-Q-B</vt:lpstr>
      <vt:lpstr>Points</vt:lpstr>
      <vt:lpstr>Sheet1</vt:lpstr>
      <vt:lpstr>Forbes-Data</vt:lpstr>
      <vt:lpstr>'Forbes-Data'!Criteria</vt:lpstr>
      <vt:lpstr>'Forbes-Data'!Extract</vt:lpstr>
      <vt:lpstr>forbesdb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Kavitha</cp:lastModifiedBy>
  <dcterms:created xsi:type="dcterms:W3CDTF">1996-10-14T23:33:28Z</dcterms:created>
  <dcterms:modified xsi:type="dcterms:W3CDTF">2013-07-04T12:17:35Z</dcterms:modified>
</cp:coreProperties>
</file>