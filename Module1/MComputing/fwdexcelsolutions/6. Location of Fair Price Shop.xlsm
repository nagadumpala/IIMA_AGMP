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60" windowWidth="15480" windowHeight="11640"/>
  </bookViews>
  <sheets>
    <sheet name="Solution" sheetId="1" r:id="rId1"/>
    <sheet name="Extended" sheetId="2" r:id="rId2"/>
    <sheet name="Sheet3" sheetId="3" r:id="rId3"/>
  </sheets>
  <definedNames>
    <definedName name="Covered">Solution!$N$17:$N$31</definedName>
    <definedName name="solver_adj" localSheetId="0" hidden="1">Solution!$I$14:$M$14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</definedName>
    <definedName name="solver_lhs1" localSheetId="0" hidden="1">Solution!$N$17:$N$31</definedName>
    <definedName name="solver_lhs2" localSheetId="0" hidden="1">Solution!$I$14:$M$14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Solution!$N$34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5</definedName>
    <definedName name="solver_rhs1" localSheetId="0" hidden="1">1</definedName>
    <definedName name="solver_rhs2" localSheetId="0" hidden="1">binary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vtab">Solution!$B$3:$P$7</definedName>
  </definedNames>
  <calcPr calcId="144525"/>
</workbook>
</file>

<file path=xl/calcChain.xml><?xml version="1.0" encoding="utf-8"?>
<calcChain xmlns="http://schemas.openxmlformats.org/spreadsheetml/2006/main">
  <c r="M14" i="1" l="1"/>
  <c r="L14" i="1"/>
  <c r="K14" i="1"/>
  <c r="J14" i="1"/>
  <c r="I14" i="1"/>
  <c r="N8" i="3" l="1"/>
  <c r="X10" i="1"/>
  <c r="AC10" i="1" s="1"/>
  <c r="F8" i="3"/>
  <c r="G8" i="3"/>
  <c r="H8" i="3"/>
  <c r="I8" i="3"/>
  <c r="J8" i="3"/>
  <c r="K8" i="3"/>
  <c r="L8" i="3"/>
  <c r="M8" i="3"/>
  <c r="E8" i="3"/>
  <c r="C17" i="1"/>
  <c r="J17" i="1" s="1"/>
  <c r="I15" i="1"/>
  <c r="J15" i="1"/>
  <c r="K15" i="1"/>
  <c r="L15" i="1"/>
  <c r="M15" i="1"/>
  <c r="T17" i="2" a="1"/>
  <c r="T17" i="2" s="1"/>
  <c r="U11" i="2"/>
  <c r="V11" i="2"/>
  <c r="U10" i="2"/>
  <c r="V10" i="2"/>
  <c r="T14" i="2"/>
  <c r="W12" i="1"/>
  <c r="X12" i="1" s="1"/>
  <c r="AC12" i="1" s="1"/>
  <c r="X11" i="1"/>
  <c r="AC11" i="1" s="1"/>
  <c r="A18" i="1"/>
  <c r="C18" i="1" s="1"/>
  <c r="J18" i="1" s="1"/>
  <c r="B18" i="1"/>
  <c r="I18" i="1" s="1"/>
  <c r="F18" i="1"/>
  <c r="M18" i="1" s="1"/>
  <c r="D17" i="1"/>
  <c r="K17" i="1" s="1"/>
  <c r="E17" i="1"/>
  <c r="L17" i="1" s="1"/>
  <c r="F17" i="1"/>
  <c r="M17" i="1" s="1"/>
  <c r="B17" i="1"/>
  <c r="I17" i="1" s="1"/>
  <c r="J12" i="1"/>
  <c r="K12" i="1"/>
  <c r="L12" i="1"/>
  <c r="M12" i="1"/>
  <c r="I12" i="1"/>
  <c r="E18" i="1" l="1"/>
  <c r="L18" i="1" s="1"/>
  <c r="W13" i="1"/>
  <c r="W14" i="1" s="1"/>
  <c r="D18" i="1"/>
  <c r="K18" i="1" s="1"/>
  <c r="W11" i="2"/>
  <c r="X11" i="2" s="1"/>
  <c r="D16" i="2" s="1"/>
  <c r="T62" i="2"/>
  <c r="T54" i="2"/>
  <c r="T46" i="2"/>
  <c r="T38" i="2"/>
  <c r="T30" i="2"/>
  <c r="T22" i="2"/>
  <c r="T66" i="2"/>
  <c r="T58" i="2"/>
  <c r="T50" i="2"/>
  <c r="T42" i="2"/>
  <c r="T34" i="2"/>
  <c r="T26" i="2"/>
  <c r="T18" i="2"/>
  <c r="T64" i="2"/>
  <c r="T56" i="2"/>
  <c r="T48" i="2"/>
  <c r="T40" i="2"/>
  <c r="T32" i="2"/>
  <c r="T24" i="2"/>
  <c r="A19" i="1"/>
  <c r="B19" i="1" s="1"/>
  <c r="I19" i="1" s="1"/>
  <c r="T60" i="2"/>
  <c r="T52" i="2"/>
  <c r="T44" i="2"/>
  <c r="T36" i="2"/>
  <c r="T28" i="2"/>
  <c r="T20" i="2"/>
  <c r="N17" i="1"/>
  <c r="N34" i="1"/>
  <c r="Y9" i="1" s="1"/>
  <c r="W15" i="1"/>
  <c r="X14" i="1"/>
  <c r="AC14" i="1" s="1"/>
  <c r="A20" i="1"/>
  <c r="C19" i="1"/>
  <c r="J19" i="1" s="1"/>
  <c r="T65" i="2"/>
  <c r="T63" i="2"/>
  <c r="T61" i="2"/>
  <c r="T59" i="2"/>
  <c r="T57" i="2"/>
  <c r="T55" i="2"/>
  <c r="T53" i="2"/>
  <c r="T51" i="2"/>
  <c r="T49" i="2"/>
  <c r="T47" i="2"/>
  <c r="T45" i="2"/>
  <c r="T43" i="2"/>
  <c r="T41" i="2"/>
  <c r="T39" i="2"/>
  <c r="T37" i="2"/>
  <c r="T35" i="2"/>
  <c r="T33" i="2"/>
  <c r="T31" i="2"/>
  <c r="T29" i="2"/>
  <c r="T27" i="2"/>
  <c r="T25" i="2"/>
  <c r="T23" i="2"/>
  <c r="T21" i="2"/>
  <c r="T19" i="2"/>
  <c r="N18" i="1" l="1"/>
  <c r="X13" i="1"/>
  <c r="AC13" i="1" s="1"/>
  <c r="D19" i="1"/>
  <c r="K19" i="1" s="1"/>
  <c r="E19" i="1"/>
  <c r="L19" i="1" s="1"/>
  <c r="F19" i="1"/>
  <c r="M19" i="1" s="1"/>
  <c r="B20" i="1"/>
  <c r="I20" i="1" s="1"/>
  <c r="C20" i="1"/>
  <c r="J20" i="1" s="1"/>
  <c r="D20" i="1"/>
  <c r="K20" i="1" s="1"/>
  <c r="E20" i="1"/>
  <c r="L20" i="1" s="1"/>
  <c r="F20" i="1"/>
  <c r="M20" i="1" s="1"/>
  <c r="A21" i="1"/>
  <c r="W16" i="1"/>
  <c r="X15" i="1"/>
  <c r="AC15" i="1" s="1"/>
  <c r="N19" i="1" l="1"/>
  <c r="N20" i="1"/>
  <c r="W17" i="1"/>
  <c r="X16" i="1"/>
  <c r="AC16" i="1" s="1"/>
  <c r="B21" i="1"/>
  <c r="I21" i="1" s="1"/>
  <c r="C21" i="1"/>
  <c r="J21" i="1" s="1"/>
  <c r="D21" i="1"/>
  <c r="K21" i="1" s="1"/>
  <c r="E21" i="1"/>
  <c r="L21" i="1" s="1"/>
  <c r="F21" i="1"/>
  <c r="M21" i="1" s="1"/>
  <c r="A22" i="1"/>
  <c r="N21" i="1" l="1"/>
  <c r="B22" i="1"/>
  <c r="I22" i="1" s="1"/>
  <c r="C22" i="1"/>
  <c r="J22" i="1" s="1"/>
  <c r="D22" i="1"/>
  <c r="K22" i="1" s="1"/>
  <c r="E22" i="1"/>
  <c r="L22" i="1" s="1"/>
  <c r="F22" i="1"/>
  <c r="M22" i="1" s="1"/>
  <c r="A23" i="1"/>
  <c r="W18" i="1"/>
  <c r="X17" i="1"/>
  <c r="AC17" i="1" s="1"/>
  <c r="N22" i="1" l="1"/>
  <c r="W19" i="1"/>
  <c r="X18" i="1"/>
  <c r="AC18" i="1" s="1"/>
  <c r="B23" i="1"/>
  <c r="I23" i="1" s="1"/>
  <c r="C23" i="1"/>
  <c r="J23" i="1" s="1"/>
  <c r="D23" i="1"/>
  <c r="K23" i="1" s="1"/>
  <c r="E23" i="1"/>
  <c r="L23" i="1" s="1"/>
  <c r="F23" i="1"/>
  <c r="M23" i="1" s="1"/>
  <c r="A24" i="1"/>
  <c r="N23" i="1" l="1"/>
  <c r="B24" i="1"/>
  <c r="I24" i="1" s="1"/>
  <c r="C24" i="1"/>
  <c r="J24" i="1" s="1"/>
  <c r="D24" i="1"/>
  <c r="K24" i="1" s="1"/>
  <c r="E24" i="1"/>
  <c r="L24" i="1" s="1"/>
  <c r="F24" i="1"/>
  <c r="M24" i="1" s="1"/>
  <c r="A25" i="1"/>
  <c r="W20" i="1"/>
  <c r="X19" i="1"/>
  <c r="AC19" i="1" s="1"/>
  <c r="N24" i="1" l="1"/>
  <c r="W21" i="1"/>
  <c r="X20" i="1"/>
  <c r="AC20" i="1" s="1"/>
  <c r="B25" i="1"/>
  <c r="I25" i="1" s="1"/>
  <c r="C25" i="1"/>
  <c r="J25" i="1" s="1"/>
  <c r="D25" i="1"/>
  <c r="K25" i="1" s="1"/>
  <c r="E25" i="1"/>
  <c r="L25" i="1" s="1"/>
  <c r="F25" i="1"/>
  <c r="M25" i="1" s="1"/>
  <c r="A26" i="1"/>
  <c r="N25" i="1" l="1"/>
  <c r="B26" i="1"/>
  <c r="I26" i="1" s="1"/>
  <c r="C26" i="1"/>
  <c r="J26" i="1" s="1"/>
  <c r="D26" i="1"/>
  <c r="K26" i="1" s="1"/>
  <c r="E26" i="1"/>
  <c r="L26" i="1" s="1"/>
  <c r="F26" i="1"/>
  <c r="M26" i="1" s="1"/>
  <c r="A27" i="1"/>
  <c r="W22" i="1"/>
  <c r="X21" i="1"/>
  <c r="AC21" i="1" s="1"/>
  <c r="N26" i="1" l="1"/>
  <c r="W23" i="1"/>
  <c r="X22" i="1"/>
  <c r="AC22" i="1" s="1"/>
  <c r="B27" i="1"/>
  <c r="I27" i="1" s="1"/>
  <c r="C27" i="1"/>
  <c r="J27" i="1" s="1"/>
  <c r="D27" i="1"/>
  <c r="K27" i="1" s="1"/>
  <c r="E27" i="1"/>
  <c r="L27" i="1" s="1"/>
  <c r="F27" i="1"/>
  <c r="M27" i="1" s="1"/>
  <c r="A28" i="1"/>
  <c r="N27" i="1" l="1"/>
  <c r="B28" i="1"/>
  <c r="I28" i="1" s="1"/>
  <c r="C28" i="1"/>
  <c r="J28" i="1" s="1"/>
  <c r="D28" i="1"/>
  <c r="K28" i="1" s="1"/>
  <c r="E28" i="1"/>
  <c r="L28" i="1" s="1"/>
  <c r="F28" i="1"/>
  <c r="M28" i="1" s="1"/>
  <c r="A29" i="1"/>
  <c r="W24" i="1"/>
  <c r="X23" i="1"/>
  <c r="AC23" i="1" s="1"/>
  <c r="N28" i="1" l="1"/>
  <c r="W25" i="1"/>
  <c r="X24" i="1"/>
  <c r="AC24" i="1" s="1"/>
  <c r="B29" i="1"/>
  <c r="I29" i="1" s="1"/>
  <c r="C29" i="1"/>
  <c r="J29" i="1" s="1"/>
  <c r="D29" i="1"/>
  <c r="K29" i="1" s="1"/>
  <c r="E29" i="1"/>
  <c r="L29" i="1" s="1"/>
  <c r="F29" i="1"/>
  <c r="M29" i="1" s="1"/>
  <c r="A30" i="1"/>
  <c r="N29" i="1" l="1"/>
  <c r="B30" i="1"/>
  <c r="I30" i="1" s="1"/>
  <c r="C30" i="1"/>
  <c r="J30" i="1" s="1"/>
  <c r="D30" i="1"/>
  <c r="K30" i="1" s="1"/>
  <c r="E30" i="1"/>
  <c r="L30" i="1" s="1"/>
  <c r="F30" i="1"/>
  <c r="M30" i="1" s="1"/>
  <c r="A31" i="1"/>
  <c r="W26" i="1"/>
  <c r="X25" i="1"/>
  <c r="AC25" i="1" s="1"/>
  <c r="N30" i="1" l="1"/>
  <c r="X26" i="1"/>
  <c r="AC26" i="1" s="1"/>
  <c r="W27" i="1"/>
  <c r="B31" i="1"/>
  <c r="I31" i="1" s="1"/>
  <c r="C31" i="1"/>
  <c r="J31" i="1" s="1"/>
  <c r="D31" i="1"/>
  <c r="K31" i="1" s="1"/>
  <c r="E31" i="1"/>
  <c r="L31" i="1" s="1"/>
  <c r="F31" i="1"/>
  <c r="M31" i="1" s="1"/>
  <c r="N31" i="1" l="1"/>
  <c r="X27" i="1"/>
  <c r="AC27" i="1" s="1"/>
  <c r="W28" i="1"/>
  <c r="N32" i="1" l="1"/>
  <c r="M32" i="1" s="1"/>
  <c r="AC9" i="1" s="1"/>
  <c r="X28" i="1"/>
  <c r="AC28" i="1" s="1"/>
  <c r="W29" i="1"/>
  <c r="Z9" i="1" l="1"/>
  <c r="X29" i="1"/>
  <c r="AC29" i="1" s="1"/>
  <c r="W30" i="1"/>
  <c r="X30" i="1" l="1"/>
  <c r="AC30" i="1" s="1"/>
  <c r="W31" i="1"/>
  <c r="X31" i="1" l="1"/>
  <c r="AC31" i="1" s="1"/>
  <c r="W32" i="1"/>
  <c r="X32" i="1" l="1"/>
  <c r="AC32" i="1" s="1"/>
  <c r="W33" i="1"/>
  <c r="X33" i="1" l="1"/>
  <c r="AC33" i="1" s="1"/>
  <c r="W34" i="1"/>
  <c r="X34" i="1" l="1"/>
  <c r="AC34" i="1" s="1"/>
  <c r="W35" i="1"/>
  <c r="X35" i="1" l="1"/>
  <c r="AC35" i="1" s="1"/>
  <c r="W36" i="1"/>
  <c r="X36" i="1" l="1"/>
  <c r="AC36" i="1" s="1"/>
  <c r="W37" i="1"/>
  <c r="X37" i="1" s="1"/>
  <c r="AC37" i="1" l="1"/>
  <c r="W38" i="1"/>
  <c r="X38" i="1" l="1"/>
  <c r="AC38" i="1" s="1"/>
  <c r="W39" i="1"/>
  <c r="X39" i="1" l="1"/>
  <c r="AC39" i="1" s="1"/>
  <c r="W40" i="1"/>
  <c r="X40" i="1" l="1"/>
  <c r="AC40" i="1" s="1"/>
  <c r="W41" i="1"/>
  <c r="X41" i="1" s="1"/>
  <c r="AC41" i="1" s="1"/>
</calcChain>
</file>

<file path=xl/sharedStrings.xml><?xml version="1.0" encoding="utf-8"?>
<sst xmlns="http://schemas.openxmlformats.org/spreadsheetml/2006/main" count="47" uniqueCount="32">
  <si>
    <t>Village Data</t>
  </si>
  <si>
    <t>Village code</t>
  </si>
  <si>
    <t>X(km)</t>
  </si>
  <si>
    <t>Y(km)</t>
  </si>
  <si>
    <t>Cost Rs('000)</t>
  </si>
  <si>
    <t>Cost</t>
  </si>
  <si>
    <t>Popu('000)</t>
  </si>
  <si>
    <t>Distance Table</t>
  </si>
  <si>
    <t>Village</t>
  </si>
  <si>
    <t>Center</t>
  </si>
  <si>
    <t>Accept Distance</t>
  </si>
  <si>
    <t>Selected</t>
  </si>
  <si>
    <t>Covered</t>
  </si>
  <si>
    <t>Number of Villages covered</t>
  </si>
  <si>
    <t>Feasibility</t>
  </si>
  <si>
    <t>Distances</t>
  </si>
  <si>
    <t>Villages</t>
  </si>
  <si>
    <t>X (km)</t>
  </si>
  <si>
    <t>Y (km)</t>
  </si>
  <si>
    <t>Centers</t>
  </si>
  <si>
    <t>VilCode</t>
  </si>
  <si>
    <t>V</t>
  </si>
  <si>
    <t>C</t>
  </si>
  <si>
    <t>SL</t>
  </si>
  <si>
    <t>X</t>
  </si>
  <si>
    <t>Dist</t>
  </si>
  <si>
    <t>CI</t>
  </si>
  <si>
    <t>Y</t>
  </si>
  <si>
    <t>Selection</t>
  </si>
  <si>
    <t>Cov</t>
  </si>
  <si>
    <t>11010</t>
  </si>
  <si>
    <t>1101111101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</si>
</sst>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General_)"/>
  </numFmts>
  <fonts count="27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Courier"/>
      <family val="3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b/>
      <sz val="7"/>
      <name val="Times New Roman"/>
      <family val="1"/>
    </font>
    <font>
      <sz val="7"/>
      <name val="Times New Roman"/>
      <family val="1"/>
    </font>
    <font>
      <b/>
      <sz val="10"/>
      <name val="Courier"/>
      <family val="3"/>
    </font>
    <font>
      <b/>
      <sz val="8"/>
      <name val="Times New Roman"/>
      <family val="1"/>
    </font>
    <font>
      <sz val="10"/>
      <name val="Arial"/>
      <family val="2"/>
    </font>
    <font>
      <sz val="10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3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2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8" borderId="0" applyNumberFormat="0" applyBorder="0" applyAlignment="0" applyProtection="0"/>
    <xf numFmtId="0" fontId="2" fillId="6" borderId="0" applyNumberFormat="0" applyBorder="0" applyAlignment="0" applyProtection="0"/>
    <xf numFmtId="0" fontId="2" fillId="3" borderId="0" applyNumberFormat="0" applyBorder="0" applyAlignment="0" applyProtection="0"/>
    <xf numFmtId="0" fontId="2" fillId="11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1" applyNumberFormat="0" applyAlignment="0" applyProtection="0"/>
    <xf numFmtId="0" fontId="5" fillId="17" borderId="2" applyNumberFormat="0" applyAlignment="0" applyProtection="0"/>
    <xf numFmtId="0" fontId="6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7" borderId="0" applyNumberFormat="0" applyBorder="0" applyAlignment="0" applyProtection="0"/>
    <xf numFmtId="164" fontId="14" fillId="0" borderId="0"/>
    <xf numFmtId="0" fontId="14" fillId="4" borderId="7" applyNumberFormat="0" applyFont="0" applyAlignment="0" applyProtection="0"/>
    <xf numFmtId="0" fontId="15" fillId="16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2" fillId="0" borderId="0" applyNumberFormat="0" applyFill="0" applyBorder="0" applyAlignment="0" applyProtection="0"/>
  </cellStyleXfs>
  <cellXfs count="74">
    <xf numFmtId="0" fontId="0" fillId="0" borderId="0" xfId="0"/>
    <xf numFmtId="164" fontId="18" fillId="0" borderId="0" xfId="37" applyFont="1"/>
    <xf numFmtId="0" fontId="0" fillId="18" borderId="0" xfId="0" applyFill="1"/>
    <xf numFmtId="0" fontId="0" fillId="0" borderId="0" xfId="0" applyNumberFormat="1"/>
    <xf numFmtId="164" fontId="0" fillId="0" borderId="0" xfId="0" applyNumberFormat="1"/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wrapText="1"/>
    </xf>
    <xf numFmtId="0" fontId="0" fillId="0" borderId="0" xfId="0" applyBorder="1"/>
    <xf numFmtId="0" fontId="22" fillId="0" borderId="0" xfId="0" applyFont="1" applyBorder="1" applyAlignment="1">
      <alignment horizontal="justify" vertical="top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justify" vertical="top" wrapText="1"/>
    </xf>
    <xf numFmtId="0" fontId="0" fillId="0" borderId="10" xfId="0" applyBorder="1"/>
    <xf numFmtId="0" fontId="23" fillId="0" borderId="11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2" fillId="0" borderId="0" xfId="0" applyFont="1" applyFill="1" applyBorder="1" applyAlignment="1">
      <alignment horizontal="center" wrapText="1"/>
    </xf>
    <xf numFmtId="0" fontId="23" fillId="0" borderId="0" xfId="0" applyFont="1" applyFill="1" applyBorder="1"/>
    <xf numFmtId="0" fontId="23" fillId="0" borderId="14" xfId="0" applyFont="1" applyBorder="1"/>
    <xf numFmtId="0" fontId="23" fillId="0" borderId="13" xfId="0" applyFont="1" applyBorder="1"/>
    <xf numFmtId="0" fontId="23" fillId="0" borderId="0" xfId="0" applyFont="1" applyBorder="1"/>
    <xf numFmtId="0" fontId="23" fillId="0" borderId="14" xfId="0" applyFont="1" applyFill="1" applyBorder="1"/>
    <xf numFmtId="0" fontId="23" fillId="0" borderId="15" xfId="0" applyFont="1" applyBorder="1"/>
    <xf numFmtId="0" fontId="0" fillId="0" borderId="16" xfId="0" applyBorder="1"/>
    <xf numFmtId="0" fontId="23" fillId="0" borderId="17" xfId="0" applyFont="1" applyBorder="1"/>
    <xf numFmtId="0" fontId="24" fillId="0" borderId="0" xfId="0" applyFont="1" applyBorder="1"/>
    <xf numFmtId="0" fontId="22" fillId="0" borderId="18" xfId="0" applyFont="1" applyFill="1" applyBorder="1" applyAlignment="1">
      <alignment horizontal="center" wrapText="1"/>
    </xf>
    <xf numFmtId="0" fontId="22" fillId="0" borderId="19" xfId="0" applyFont="1" applyFill="1" applyBorder="1" applyAlignment="1">
      <alignment horizontal="center" wrapText="1"/>
    </xf>
    <xf numFmtId="0" fontId="22" fillId="0" borderId="20" xfId="0" applyFont="1" applyFill="1" applyBorder="1" applyAlignment="1">
      <alignment horizont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164" fontId="18" fillId="0" borderId="10" xfId="37" applyFont="1" applyBorder="1"/>
    <xf numFmtId="164" fontId="18" fillId="0" borderId="11" xfId="37" applyFont="1" applyBorder="1"/>
    <xf numFmtId="164" fontId="19" fillId="0" borderId="11" xfId="37" applyFont="1" applyBorder="1"/>
    <xf numFmtId="164" fontId="18" fillId="0" borderId="12" xfId="37" applyFont="1" applyBorder="1"/>
    <xf numFmtId="164" fontId="14" fillId="0" borderId="13" xfId="37" applyBorder="1"/>
    <xf numFmtId="164" fontId="14" fillId="0" borderId="0" xfId="37" applyBorder="1"/>
    <xf numFmtId="164" fontId="14" fillId="0" borderId="14" xfId="37" applyBorder="1"/>
    <xf numFmtId="164" fontId="18" fillId="0" borderId="13" xfId="37" applyFont="1" applyBorder="1"/>
    <xf numFmtId="164" fontId="18" fillId="0" borderId="0" xfId="37" applyFont="1" applyBorder="1"/>
    <xf numFmtId="164" fontId="18" fillId="0" borderId="14" xfId="37" applyFont="1" applyBorder="1"/>
    <xf numFmtId="164" fontId="18" fillId="0" borderId="15" xfId="37" applyFont="1" applyBorder="1"/>
    <xf numFmtId="164" fontId="18" fillId="0" borderId="16" xfId="37" applyFont="1" applyBorder="1"/>
    <xf numFmtId="164" fontId="18" fillId="0" borderId="17" xfId="37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164" fontId="18" fillId="0" borderId="28" xfId="37" applyFont="1" applyBorder="1"/>
    <xf numFmtId="0" fontId="0" fillId="0" borderId="31" xfId="0" applyBorder="1"/>
    <xf numFmtId="0" fontId="0" fillId="0" borderId="32" xfId="0" applyBorder="1"/>
    <xf numFmtId="0" fontId="20" fillId="0" borderId="0" xfId="0" applyFont="1" applyBorder="1"/>
    <xf numFmtId="0" fontId="0" fillId="19" borderId="0" xfId="0" applyFill="1"/>
    <xf numFmtId="164" fontId="18" fillId="19" borderId="0" xfId="37" applyFont="1" applyFill="1"/>
    <xf numFmtId="0" fontId="0" fillId="20" borderId="0" xfId="0" applyFill="1"/>
    <xf numFmtId="0" fontId="20" fillId="0" borderId="11" xfId="0" applyFont="1" applyBorder="1"/>
    <xf numFmtId="0" fontId="20" fillId="0" borderId="12" xfId="0" applyFont="1" applyBorder="1"/>
    <xf numFmtId="0" fontId="0" fillId="0" borderId="14" xfId="0" applyBorder="1"/>
    <xf numFmtId="164" fontId="20" fillId="0" borderId="13" xfId="0" applyNumberFormat="1" applyFont="1" applyBorder="1"/>
    <xf numFmtId="164" fontId="20" fillId="0" borderId="15" xfId="0" applyNumberFormat="1" applyFont="1" applyBorder="1"/>
    <xf numFmtId="0" fontId="0" fillId="0" borderId="17" xfId="0" applyBorder="1"/>
    <xf numFmtId="0" fontId="20" fillId="0" borderId="14" xfId="0" applyFont="1" applyBorder="1"/>
    <xf numFmtId="0" fontId="20" fillId="0" borderId="13" xfId="0" applyFont="1" applyBorder="1"/>
    <xf numFmtId="0" fontId="20" fillId="0" borderId="15" xfId="0" applyFont="1" applyBorder="1"/>
    <xf numFmtId="0" fontId="25" fillId="0" borderId="0" xfId="0" quotePrefix="1" applyFont="1"/>
    <xf numFmtId="0" fontId="25" fillId="19" borderId="0" xfId="0" quotePrefix="1" applyNumberFormat="1" applyFont="1" applyFill="1"/>
    <xf numFmtId="0" fontId="20" fillId="0" borderId="29" xfId="0" applyFont="1" applyBorder="1"/>
    <xf numFmtId="0" fontId="20" fillId="0" borderId="28" xfId="0" applyFont="1" applyBorder="1"/>
    <xf numFmtId="0" fontId="20" fillId="0" borderId="30" xfId="0" applyFont="1" applyBorder="1"/>
    <xf numFmtId="0" fontId="0" fillId="21" borderId="0" xfId="0" applyFill="1"/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heet1" xfId="37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5">
    <dxf>
      <font>
        <b/>
        <i val="0"/>
        <color theme="9" tint="-0.24994659260841701"/>
        <name val="Cambria"/>
        <scheme val="none"/>
      </font>
    </dxf>
    <dxf>
      <font>
        <b/>
        <i val="0"/>
        <color theme="9" tint="-0.24994659260841701"/>
        <name val="Cambria"/>
        <scheme val="none"/>
      </font>
    </dxf>
    <dxf>
      <font>
        <b/>
        <i val="0"/>
        <color theme="9" tint="-0.24994659260841701"/>
        <name val="Cambria"/>
        <scheme val="none"/>
      </font>
    </dxf>
    <dxf>
      <fill>
        <patternFill>
          <bgColor rgb="FF00B050"/>
        </patternFill>
      </fill>
    </dxf>
    <dxf>
      <fill>
        <patternFill>
          <bgColor rgb="FFFF717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37</xdr:row>
          <xdr:rowOff>28575</xdr:rowOff>
        </xdr:from>
        <xdr:to>
          <xdr:col>11</xdr:col>
          <xdr:colOff>47625</xdr:colOff>
          <xdr:row>39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504825</xdr:colOff>
          <xdr:row>37</xdr:row>
          <xdr:rowOff>38100</xdr:rowOff>
        </xdr:from>
        <xdr:to>
          <xdr:col>14</xdr:col>
          <xdr:colOff>257175</xdr:colOff>
          <xdr:row>39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After Solver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2"/>
  <sheetViews>
    <sheetView tabSelected="1" workbookViewId="0">
      <selection activeCell="A14" sqref="A14"/>
    </sheetView>
  </sheetViews>
  <sheetFormatPr defaultColWidth="5.7109375" defaultRowHeight="12.75" x14ac:dyDescent="0.2"/>
  <cols>
    <col min="1" max="1" width="6.5703125" customWidth="1"/>
    <col min="2" max="7" width="5.7109375" customWidth="1"/>
    <col min="8" max="8" width="8.7109375" customWidth="1"/>
    <col min="9" max="12" width="5.7109375" customWidth="1"/>
    <col min="13" max="13" width="9.5703125" customWidth="1"/>
    <col min="14" max="15" width="7.28515625" customWidth="1"/>
    <col min="16" max="23" width="5.7109375" customWidth="1"/>
    <col min="24" max="24" width="6.85546875" customWidth="1"/>
    <col min="25" max="25" width="5.7109375" customWidth="1"/>
    <col min="26" max="26" width="9.28515625" customWidth="1"/>
    <col min="27" max="28" width="5.7109375" customWidth="1"/>
    <col min="29" max="29" width="7.5703125" customWidth="1"/>
    <col min="30" max="30" width="10.85546875" customWidth="1"/>
    <col min="31" max="31" width="11.42578125" customWidth="1"/>
    <col min="32" max="32" width="10.28515625" customWidth="1"/>
    <col min="33" max="33" width="9.140625" customWidth="1"/>
  </cols>
  <sheetData>
    <row r="1" spans="1:33" ht="15.75" x14ac:dyDescent="0.25">
      <c r="A1" s="33"/>
      <c r="B1" s="34"/>
      <c r="C1" s="34"/>
      <c r="D1" s="34"/>
      <c r="E1" s="34"/>
      <c r="F1" s="34"/>
      <c r="G1" s="35" t="s">
        <v>0</v>
      </c>
      <c r="H1" s="34"/>
      <c r="I1" s="34"/>
      <c r="J1" s="34"/>
      <c r="K1" s="34"/>
      <c r="L1" s="34"/>
      <c r="M1" s="34"/>
      <c r="N1" s="34"/>
      <c r="O1" s="34"/>
      <c r="P1" s="36"/>
    </row>
    <row r="2" spans="1:33" x14ac:dyDescent="0.2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9"/>
    </row>
    <row r="3" spans="1:33" x14ac:dyDescent="0.2">
      <c r="A3" s="40" t="s">
        <v>1</v>
      </c>
      <c r="B3" s="41">
        <v>1</v>
      </c>
      <c r="C3" s="41">
        <v>2</v>
      </c>
      <c r="D3" s="41">
        <v>3</v>
      </c>
      <c r="E3" s="41">
        <v>4</v>
      </c>
      <c r="F3" s="41">
        <v>5</v>
      </c>
      <c r="G3" s="41">
        <v>6</v>
      </c>
      <c r="H3" s="41">
        <v>7</v>
      </c>
      <c r="I3" s="41">
        <v>8</v>
      </c>
      <c r="J3" s="41">
        <v>9</v>
      </c>
      <c r="K3" s="41">
        <v>10</v>
      </c>
      <c r="L3" s="41">
        <v>11</v>
      </c>
      <c r="M3" s="41">
        <v>12</v>
      </c>
      <c r="N3" s="41">
        <v>13</v>
      </c>
      <c r="O3" s="41">
        <v>14</v>
      </c>
      <c r="P3" s="42">
        <v>15</v>
      </c>
    </row>
    <row r="4" spans="1:33" x14ac:dyDescent="0.2">
      <c r="A4" s="40" t="s">
        <v>2</v>
      </c>
      <c r="B4" s="41">
        <v>3</v>
      </c>
      <c r="C4" s="41">
        <v>8</v>
      </c>
      <c r="D4" s="41">
        <v>16</v>
      </c>
      <c r="E4" s="41">
        <v>8</v>
      </c>
      <c r="F4" s="41">
        <v>12</v>
      </c>
      <c r="G4" s="41">
        <v>17</v>
      </c>
      <c r="H4" s="41">
        <v>4</v>
      </c>
      <c r="I4" s="41">
        <v>14</v>
      </c>
      <c r="J4" s="41">
        <v>10</v>
      </c>
      <c r="K4" s="41">
        <v>4</v>
      </c>
      <c r="L4" s="41">
        <v>9</v>
      </c>
      <c r="M4" s="41">
        <v>14</v>
      </c>
      <c r="N4" s="41">
        <v>10</v>
      </c>
      <c r="O4" s="41">
        <v>17</v>
      </c>
      <c r="P4" s="42">
        <v>11</v>
      </c>
    </row>
    <row r="5" spans="1:33" x14ac:dyDescent="0.2">
      <c r="A5" s="40" t="s">
        <v>3</v>
      </c>
      <c r="B5" s="41">
        <v>3</v>
      </c>
      <c r="C5" s="41">
        <v>2</v>
      </c>
      <c r="D5" s="41">
        <v>2</v>
      </c>
      <c r="E5" s="41">
        <v>5</v>
      </c>
      <c r="F5" s="41">
        <v>6</v>
      </c>
      <c r="G5" s="41">
        <v>6</v>
      </c>
      <c r="H5" s="41">
        <v>8</v>
      </c>
      <c r="I5" s="41">
        <v>10</v>
      </c>
      <c r="J5" s="41">
        <v>12</v>
      </c>
      <c r="K5" s="41">
        <v>13</v>
      </c>
      <c r="L5" s="41">
        <v>14</v>
      </c>
      <c r="M5" s="41">
        <v>14</v>
      </c>
      <c r="N5" s="41">
        <v>15</v>
      </c>
      <c r="O5" s="41">
        <v>18</v>
      </c>
      <c r="P5" s="42">
        <v>18</v>
      </c>
    </row>
    <row r="6" spans="1:33" x14ac:dyDescent="0.2">
      <c r="A6" s="40" t="s">
        <v>6</v>
      </c>
      <c r="B6" s="41">
        <v>8</v>
      </c>
      <c r="C6" s="41">
        <v>2</v>
      </c>
      <c r="D6" s="41">
        <v>3</v>
      </c>
      <c r="E6" s="41">
        <v>3</v>
      </c>
      <c r="F6" s="41">
        <v>5</v>
      </c>
      <c r="G6" s="41">
        <v>4</v>
      </c>
      <c r="H6" s="41">
        <v>1</v>
      </c>
      <c r="I6" s="41">
        <v>2</v>
      </c>
      <c r="J6" s="41">
        <v>10</v>
      </c>
      <c r="K6" s="41">
        <v>4</v>
      </c>
      <c r="L6" s="41">
        <v>1</v>
      </c>
      <c r="M6" s="41">
        <v>7</v>
      </c>
      <c r="N6" s="41">
        <v>9</v>
      </c>
      <c r="O6" s="41">
        <v>3</v>
      </c>
      <c r="P6" s="42">
        <v>4</v>
      </c>
    </row>
    <row r="7" spans="1:33" x14ac:dyDescent="0.2">
      <c r="A7" s="43" t="s">
        <v>4</v>
      </c>
      <c r="B7" s="44">
        <v>15</v>
      </c>
      <c r="C7" s="44"/>
      <c r="D7" s="44"/>
      <c r="E7" s="44"/>
      <c r="F7" s="44">
        <v>10</v>
      </c>
      <c r="G7" s="44"/>
      <c r="H7" s="44"/>
      <c r="I7" s="44"/>
      <c r="J7" s="44">
        <v>20</v>
      </c>
      <c r="K7" s="44"/>
      <c r="L7" s="44"/>
      <c r="M7" s="44">
        <v>15</v>
      </c>
      <c r="N7" s="44">
        <v>20</v>
      </c>
      <c r="O7" s="44"/>
      <c r="P7" s="45"/>
    </row>
    <row r="8" spans="1:33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W8" s="12"/>
      <c r="X8" s="14"/>
      <c r="Y8" s="59" t="s">
        <v>5</v>
      </c>
      <c r="Z8" s="60" t="s">
        <v>14</v>
      </c>
      <c r="AC8" s="12"/>
      <c r="AD8" s="59" t="s">
        <v>15</v>
      </c>
      <c r="AE8" s="14"/>
      <c r="AF8" s="14"/>
      <c r="AG8" s="15"/>
    </row>
    <row r="9" spans="1:33" ht="13.5" thickBo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W9" s="16"/>
      <c r="X9" s="7"/>
      <c r="Y9" s="7">
        <f>N34</f>
        <v>40</v>
      </c>
      <c r="Z9" s="61" t="str">
        <f>M32</f>
        <v>Infeasible</v>
      </c>
      <c r="AC9" s="16" t="str">
        <f>LEFT(M32,1)&amp;"-"&amp;N34</f>
        <v>I-40</v>
      </c>
      <c r="AD9" s="55">
        <v>6.5</v>
      </c>
      <c r="AE9" s="55">
        <v>7</v>
      </c>
      <c r="AF9" s="55">
        <v>7.5</v>
      </c>
      <c r="AG9" s="65">
        <v>8</v>
      </c>
    </row>
    <row r="10" spans="1:33" ht="13.5" thickBo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s="46"/>
      <c r="W10" s="62">
        <v>0</v>
      </c>
      <c r="X10" s="7" t="str">
        <f>DEC2BIN(W10,5)</f>
        <v>00000</v>
      </c>
      <c r="Y10" s="7">
        <f t="dataTable" ref="Y10:Z41" dt2D="0" dtr="0" r1="O15" ca="1"/>
        <v>0</v>
      </c>
      <c r="Z10" s="61" t="str">
        <v>Infeasible</v>
      </c>
      <c r="AC10" s="66" t="str">
        <f>X10</f>
        <v>00000</v>
      </c>
      <c r="AD10" s="7" t="str">
        <f t="dataTable" ref="AD10:AG41" dt2D="1" dtr="0" r1="N11" r2="O15"/>
        <v>I-0</v>
      </c>
      <c r="AE10" s="7" t="str">
        <v>I-0</v>
      </c>
      <c r="AF10" s="7" t="str">
        <v>I-0</v>
      </c>
      <c r="AG10" s="61" t="str">
        <v>I-0</v>
      </c>
    </row>
    <row r="11" spans="1:33" x14ac:dyDescent="0.2">
      <c r="A11" s="1"/>
      <c r="B11" s="1"/>
      <c r="C11" s="1"/>
      <c r="D11" s="1"/>
      <c r="E11" s="1"/>
      <c r="F11" s="1"/>
      <c r="G11" s="1"/>
      <c r="M11" s="56" t="s">
        <v>10</v>
      </c>
      <c r="N11" s="57">
        <v>6.5</v>
      </c>
      <c r="O11" s="1"/>
      <c r="P11" s="1"/>
      <c r="W11" s="62">
        <v>1</v>
      </c>
      <c r="X11" s="7" t="str">
        <f t="shared" ref="X11:X41" si="0">DEC2BIN(W11,5)</f>
        <v>00001</v>
      </c>
      <c r="Y11" s="7">
        <v>20</v>
      </c>
      <c r="Z11" s="61" t="str">
        <v>Infeasible</v>
      </c>
      <c r="AC11" s="66" t="str">
        <f t="shared" ref="AC11:AC41" si="1">X11</f>
        <v>00001</v>
      </c>
      <c r="AD11" s="7" t="str">
        <v>I-20</v>
      </c>
      <c r="AE11" s="7" t="str">
        <v>I-20</v>
      </c>
      <c r="AF11" s="7" t="str">
        <v>I-20</v>
      </c>
      <c r="AG11" s="61" t="str">
        <v>I-20</v>
      </c>
    </row>
    <row r="12" spans="1:33" x14ac:dyDescent="0.2">
      <c r="A12" s="1"/>
      <c r="B12" s="1"/>
      <c r="C12" s="1"/>
      <c r="D12" s="1"/>
      <c r="E12" s="1"/>
      <c r="F12" s="1"/>
      <c r="H12" t="s">
        <v>5</v>
      </c>
      <c r="I12">
        <f>HLOOKUP(I13,vtab,5,0)</f>
        <v>15</v>
      </c>
      <c r="J12">
        <f>HLOOKUP(J13,vtab,5,0)</f>
        <v>10</v>
      </c>
      <c r="K12">
        <f>HLOOKUP(K13,vtab,5,0)</f>
        <v>20</v>
      </c>
      <c r="L12">
        <f>HLOOKUP(L13,vtab,5,0)</f>
        <v>15</v>
      </c>
      <c r="M12">
        <f>HLOOKUP(M13,vtab,5,0)</f>
        <v>20</v>
      </c>
      <c r="W12" s="62">
        <f>W11+1</f>
        <v>2</v>
      </c>
      <c r="X12" s="7" t="str">
        <f t="shared" si="0"/>
        <v>00010</v>
      </c>
      <c r="Y12" s="7">
        <v>15</v>
      </c>
      <c r="Z12" s="61" t="str">
        <v>Infeasible</v>
      </c>
      <c r="AC12" s="66" t="str">
        <f t="shared" si="1"/>
        <v>00010</v>
      </c>
      <c r="AD12" s="7" t="str">
        <v>I-15</v>
      </c>
      <c r="AE12" s="7" t="str">
        <v>I-15</v>
      </c>
      <c r="AF12" s="7" t="str">
        <v>I-15</v>
      </c>
      <c r="AG12" s="61" t="str">
        <v>I-15</v>
      </c>
    </row>
    <row r="13" spans="1:33" ht="13.5" thickBot="1" x14ac:dyDescent="0.25">
      <c r="H13" t="s">
        <v>9</v>
      </c>
      <c r="I13">
        <v>1</v>
      </c>
      <c r="J13">
        <v>5</v>
      </c>
      <c r="K13">
        <v>9</v>
      </c>
      <c r="L13">
        <v>12</v>
      </c>
      <c r="M13">
        <v>13</v>
      </c>
      <c r="W13" s="62">
        <f t="shared" ref="W13:W41" si="2">W12+1</f>
        <v>3</v>
      </c>
      <c r="X13" s="7" t="str">
        <f t="shared" si="0"/>
        <v>00011</v>
      </c>
      <c r="Y13" s="7">
        <v>35</v>
      </c>
      <c r="Z13" s="61" t="str">
        <v>Infeasible</v>
      </c>
      <c r="AC13" s="66" t="str">
        <f t="shared" si="1"/>
        <v>00011</v>
      </c>
      <c r="AD13" s="7" t="str">
        <v>I-35</v>
      </c>
      <c r="AE13" s="7" t="str">
        <v>I-35</v>
      </c>
      <c r="AF13" s="7" t="str">
        <v>I-35</v>
      </c>
      <c r="AG13" s="61" t="str">
        <v>I-35</v>
      </c>
    </row>
    <row r="14" spans="1:33" x14ac:dyDescent="0.2">
      <c r="A14" s="47"/>
      <c r="B14" s="48" t="s">
        <v>7</v>
      </c>
      <c r="C14" s="48"/>
      <c r="D14" s="48"/>
      <c r="E14" s="48"/>
      <c r="F14" s="49"/>
      <c r="H14" t="s">
        <v>11</v>
      </c>
      <c r="I14" s="3">
        <f>VALUE(MID($O$15,1,1))</f>
        <v>1</v>
      </c>
      <c r="J14" s="3">
        <f>VALUE(MID($O$15,2,1))</f>
        <v>1</v>
      </c>
      <c r="K14" s="3">
        <f>VALUE(MID($O$15,3,1))</f>
        <v>0</v>
      </c>
      <c r="L14" s="3">
        <f>VALUE(MID($O$15,4,1))</f>
        <v>1</v>
      </c>
      <c r="M14" s="3">
        <f>VALUE(MID($O$15,5,1))</f>
        <v>0</v>
      </c>
      <c r="W14" s="62">
        <f t="shared" si="2"/>
        <v>4</v>
      </c>
      <c r="X14" s="7" t="str">
        <f t="shared" si="0"/>
        <v>00100</v>
      </c>
      <c r="Y14" s="7">
        <v>20</v>
      </c>
      <c r="Z14" s="61" t="str">
        <v>Infeasible</v>
      </c>
      <c r="AC14" s="66" t="str">
        <f t="shared" si="1"/>
        <v>00100</v>
      </c>
      <c r="AD14" s="7" t="str">
        <v>I-20</v>
      </c>
      <c r="AE14" s="7" t="str">
        <v>I-20</v>
      </c>
      <c r="AF14" s="7" t="str">
        <v>I-20</v>
      </c>
      <c r="AG14" s="61" t="str">
        <v>I-20</v>
      </c>
    </row>
    <row r="15" spans="1:33" x14ac:dyDescent="0.2">
      <c r="A15" s="50"/>
      <c r="B15" s="55" t="s">
        <v>9</v>
      </c>
      <c r="C15" s="7"/>
      <c r="D15" s="7"/>
      <c r="E15" s="7"/>
      <c r="F15" s="51"/>
      <c r="H15" t="s">
        <v>11</v>
      </c>
      <c r="I15" s="3">
        <f>VALUE(MID($O$15,1,1))</f>
        <v>1</v>
      </c>
      <c r="J15" s="3">
        <f>VALUE(MID($O$15,2,1))</f>
        <v>1</v>
      </c>
      <c r="K15" s="3">
        <f>VALUE(MID($O$15,3,1))</f>
        <v>0</v>
      </c>
      <c r="L15" s="3">
        <f>VALUE(MID($O$15,4,1))</f>
        <v>1</v>
      </c>
      <c r="M15" s="3">
        <f>VALUE(MID($O$15,5,1))</f>
        <v>0</v>
      </c>
      <c r="O15" s="69" t="s">
        <v>30</v>
      </c>
      <c r="R15" s="68"/>
      <c r="W15" s="62">
        <f t="shared" si="2"/>
        <v>5</v>
      </c>
      <c r="X15" s="7" t="str">
        <f t="shared" si="0"/>
        <v>00101</v>
      </c>
      <c r="Y15" s="7">
        <v>40</v>
      </c>
      <c r="Z15" s="61" t="str">
        <v>Infeasible</v>
      </c>
      <c r="AC15" s="66" t="str">
        <f t="shared" si="1"/>
        <v>00101</v>
      </c>
      <c r="AD15" s="7" t="str">
        <v>I-40</v>
      </c>
      <c r="AE15" s="7" t="str">
        <v>I-40</v>
      </c>
      <c r="AF15" s="7" t="str">
        <v>I-40</v>
      </c>
      <c r="AG15" s="61" t="str">
        <v>I-40</v>
      </c>
    </row>
    <row r="16" spans="1:33" x14ac:dyDescent="0.2">
      <c r="A16" s="52" t="s">
        <v>8</v>
      </c>
      <c r="B16" s="55">
        <v>1</v>
      </c>
      <c r="C16" s="55">
        <v>5</v>
      </c>
      <c r="D16" s="55">
        <v>9</v>
      </c>
      <c r="E16" s="55">
        <v>12</v>
      </c>
      <c r="F16" s="70">
        <v>13</v>
      </c>
      <c r="N16" t="s">
        <v>12</v>
      </c>
      <c r="W16" s="62">
        <f t="shared" si="2"/>
        <v>6</v>
      </c>
      <c r="X16" s="7" t="str">
        <f t="shared" si="0"/>
        <v>00110</v>
      </c>
      <c r="Y16" s="7">
        <v>35</v>
      </c>
      <c r="Z16" s="61" t="str">
        <v>Infeasible</v>
      </c>
      <c r="AC16" s="66" t="str">
        <f t="shared" si="1"/>
        <v>00110</v>
      </c>
      <c r="AD16" s="7" t="str">
        <v>I-35</v>
      </c>
      <c r="AE16" s="7" t="str">
        <v>I-35</v>
      </c>
      <c r="AF16" s="7" t="str">
        <v>I-35</v>
      </c>
      <c r="AG16" s="61" t="str">
        <v>I-35</v>
      </c>
    </row>
    <row r="17" spans="1:33" x14ac:dyDescent="0.2">
      <c r="A17" s="71">
        <v>1</v>
      </c>
      <c r="B17" s="7">
        <f t="shared" ref="B17:F31" si="3">SQRT(((INDEX(vtab,2,$A17)-INDEX(vtab,2,B$16))^2)+((INDEX(vtab,3,$A17)-INDEX(vtab,3,B$16))^2))</f>
        <v>0</v>
      </c>
      <c r="C17" s="7">
        <f t="shared" si="3"/>
        <v>9.4868329805051381</v>
      </c>
      <c r="D17" s="7">
        <f t="shared" si="3"/>
        <v>11.401754250991379</v>
      </c>
      <c r="E17" s="7">
        <f t="shared" si="3"/>
        <v>15.556349186104045</v>
      </c>
      <c r="F17" s="51">
        <f t="shared" si="3"/>
        <v>13.892443989449804</v>
      </c>
      <c r="I17" s="58">
        <f t="shared" ref="I17:I31" si="4">IF(B17&lt;=$N$11,1,0)</f>
        <v>1</v>
      </c>
      <c r="J17" s="58">
        <f t="shared" ref="J17:J31" si="5">IF(C17&lt;=$N$11,1,0)</f>
        <v>0</v>
      </c>
      <c r="K17" s="58">
        <f t="shared" ref="K17:K31" si="6">IF(D17&lt;=$N$11,1,0)</f>
        <v>0</v>
      </c>
      <c r="L17" s="58">
        <f t="shared" ref="L17:L31" si="7">IF(E17&lt;=$N$11,1,0)</f>
        <v>0</v>
      </c>
      <c r="M17" s="58">
        <f t="shared" ref="M17:M31" si="8">IF(F17&lt;=$N$11,1,0)</f>
        <v>0</v>
      </c>
      <c r="N17">
        <f>SUMPRODUCT(I17:M17,$I$14:$M$14)</f>
        <v>1</v>
      </c>
      <c r="W17" s="62">
        <f t="shared" si="2"/>
        <v>7</v>
      </c>
      <c r="X17" s="7" t="str">
        <f t="shared" si="0"/>
        <v>00111</v>
      </c>
      <c r="Y17" s="7">
        <v>55</v>
      </c>
      <c r="Z17" s="61" t="str">
        <v>Infeasible</v>
      </c>
      <c r="AC17" s="66" t="str">
        <f>X17</f>
        <v>00111</v>
      </c>
      <c r="AD17" s="7" t="str">
        <v>I-55</v>
      </c>
      <c r="AE17" s="7" t="str">
        <v>I-55</v>
      </c>
      <c r="AF17" s="7" t="str">
        <v>I-55</v>
      </c>
      <c r="AG17" s="61" t="str">
        <v>I-55</v>
      </c>
    </row>
    <row r="18" spans="1:33" x14ac:dyDescent="0.2">
      <c r="A18" s="71">
        <f>A17+1</f>
        <v>2</v>
      </c>
      <c r="B18" s="7">
        <f t="shared" si="3"/>
        <v>5.0990195135927845</v>
      </c>
      <c r="C18" s="7">
        <f t="shared" si="3"/>
        <v>5.6568542494923806</v>
      </c>
      <c r="D18" s="7">
        <f t="shared" si="3"/>
        <v>10.198039027185569</v>
      </c>
      <c r="E18" s="7">
        <f t="shared" si="3"/>
        <v>13.416407864998739</v>
      </c>
      <c r="F18" s="51">
        <f t="shared" si="3"/>
        <v>13.152946437965905</v>
      </c>
      <c r="I18" s="58">
        <f t="shared" si="4"/>
        <v>1</v>
      </c>
      <c r="J18" s="58">
        <f t="shared" si="5"/>
        <v>1</v>
      </c>
      <c r="K18" s="58">
        <f t="shared" si="6"/>
        <v>0</v>
      </c>
      <c r="L18" s="58">
        <f t="shared" si="7"/>
        <v>0</v>
      </c>
      <c r="M18" s="58">
        <f t="shared" si="8"/>
        <v>0</v>
      </c>
      <c r="N18">
        <f t="shared" ref="N18:N31" si="9">SUMPRODUCT(I18:M18,$I$14:$M$14)</f>
        <v>2</v>
      </c>
      <c r="W18" s="62">
        <f t="shared" si="2"/>
        <v>8</v>
      </c>
      <c r="X18" s="7" t="str">
        <f t="shared" si="0"/>
        <v>01000</v>
      </c>
      <c r="Y18" s="7">
        <v>10</v>
      </c>
      <c r="Z18" s="61" t="str">
        <v>Infeasible</v>
      </c>
      <c r="AC18" s="66" t="str">
        <f t="shared" si="1"/>
        <v>01000</v>
      </c>
      <c r="AD18" s="7" t="str">
        <v>I-10</v>
      </c>
      <c r="AE18" s="7" t="str">
        <v>I-10</v>
      </c>
      <c r="AF18" s="7" t="str">
        <v>I-10</v>
      </c>
      <c r="AG18" s="61" t="str">
        <v>I-10</v>
      </c>
    </row>
    <row r="19" spans="1:33" x14ac:dyDescent="0.2">
      <c r="A19" s="71">
        <f t="shared" ref="A19:A31" si="10">A18+1</f>
        <v>3</v>
      </c>
      <c r="B19" s="7">
        <f t="shared" si="3"/>
        <v>13.038404810405298</v>
      </c>
      <c r="C19" s="7">
        <f t="shared" si="3"/>
        <v>5.6568542494923806</v>
      </c>
      <c r="D19" s="7">
        <f t="shared" si="3"/>
        <v>11.661903789690601</v>
      </c>
      <c r="E19" s="7">
        <f t="shared" si="3"/>
        <v>12.165525060596439</v>
      </c>
      <c r="F19" s="51">
        <f t="shared" si="3"/>
        <v>14.317821063276353</v>
      </c>
      <c r="I19" s="58">
        <f t="shared" si="4"/>
        <v>0</v>
      </c>
      <c r="J19" s="58">
        <f t="shared" si="5"/>
        <v>1</v>
      </c>
      <c r="K19" s="58">
        <f t="shared" si="6"/>
        <v>0</v>
      </c>
      <c r="L19" s="58">
        <f t="shared" si="7"/>
        <v>0</v>
      </c>
      <c r="M19" s="58">
        <f t="shared" si="8"/>
        <v>0</v>
      </c>
      <c r="N19">
        <f t="shared" si="9"/>
        <v>1</v>
      </c>
      <c r="W19" s="62">
        <f t="shared" si="2"/>
        <v>9</v>
      </c>
      <c r="X19" s="7" t="str">
        <f t="shared" si="0"/>
        <v>01001</v>
      </c>
      <c r="Y19" s="7">
        <v>30</v>
      </c>
      <c r="Z19" s="61" t="str">
        <v>Infeasible</v>
      </c>
      <c r="AC19" s="66" t="str">
        <f t="shared" si="1"/>
        <v>01001</v>
      </c>
      <c r="AD19" s="7" t="str">
        <v>I-30</v>
      </c>
      <c r="AE19" s="7" t="str">
        <v>I-30</v>
      </c>
      <c r="AF19" s="7" t="str">
        <v>I-30</v>
      </c>
      <c r="AG19" s="61" t="str">
        <v>I-30</v>
      </c>
    </row>
    <row r="20" spans="1:33" x14ac:dyDescent="0.2">
      <c r="A20" s="71">
        <f t="shared" si="10"/>
        <v>4</v>
      </c>
      <c r="B20" s="7">
        <f t="shared" si="3"/>
        <v>5.3851648071345037</v>
      </c>
      <c r="C20" s="7">
        <f t="shared" si="3"/>
        <v>4.1231056256176606</v>
      </c>
      <c r="D20" s="7">
        <f t="shared" si="3"/>
        <v>7.2801098892805181</v>
      </c>
      <c r="E20" s="7">
        <f t="shared" si="3"/>
        <v>10.816653826391969</v>
      </c>
      <c r="F20" s="51">
        <f t="shared" si="3"/>
        <v>10.198039027185569</v>
      </c>
      <c r="I20" s="58">
        <f t="shared" si="4"/>
        <v>1</v>
      </c>
      <c r="J20" s="58">
        <f t="shared" si="5"/>
        <v>1</v>
      </c>
      <c r="K20" s="58">
        <f t="shared" si="6"/>
        <v>0</v>
      </c>
      <c r="L20" s="58">
        <f t="shared" si="7"/>
        <v>0</v>
      </c>
      <c r="M20" s="58">
        <f t="shared" si="8"/>
        <v>0</v>
      </c>
      <c r="N20">
        <f t="shared" si="9"/>
        <v>2</v>
      </c>
      <c r="W20" s="62">
        <f t="shared" si="2"/>
        <v>10</v>
      </c>
      <c r="X20" s="7" t="str">
        <f t="shared" si="0"/>
        <v>01010</v>
      </c>
      <c r="Y20" s="7">
        <v>25</v>
      </c>
      <c r="Z20" s="61" t="str">
        <v>Infeasible</v>
      </c>
      <c r="AC20" s="66" t="str">
        <f t="shared" si="1"/>
        <v>01010</v>
      </c>
      <c r="AD20" s="7" t="str">
        <v>I-25</v>
      </c>
      <c r="AE20" s="7" t="str">
        <v>I-25</v>
      </c>
      <c r="AF20" s="7" t="str">
        <v>I-25</v>
      </c>
      <c r="AG20" s="61" t="str">
        <v>I-25</v>
      </c>
    </row>
    <row r="21" spans="1:33" x14ac:dyDescent="0.2">
      <c r="A21" s="71">
        <f t="shared" si="10"/>
        <v>5</v>
      </c>
      <c r="B21" s="7">
        <f t="shared" si="3"/>
        <v>9.4868329805051381</v>
      </c>
      <c r="C21" s="7">
        <f t="shared" si="3"/>
        <v>0</v>
      </c>
      <c r="D21" s="7">
        <f t="shared" si="3"/>
        <v>6.324555320336759</v>
      </c>
      <c r="E21" s="7">
        <f t="shared" si="3"/>
        <v>8.2462112512353212</v>
      </c>
      <c r="F21" s="51">
        <f t="shared" si="3"/>
        <v>9.2195444572928871</v>
      </c>
      <c r="I21" s="58">
        <f t="shared" si="4"/>
        <v>0</v>
      </c>
      <c r="J21" s="58">
        <f t="shared" si="5"/>
        <v>1</v>
      </c>
      <c r="K21" s="58">
        <f t="shared" si="6"/>
        <v>1</v>
      </c>
      <c r="L21" s="58">
        <f t="shared" si="7"/>
        <v>0</v>
      </c>
      <c r="M21" s="58">
        <f t="shared" si="8"/>
        <v>0</v>
      </c>
      <c r="N21">
        <f t="shared" si="9"/>
        <v>1</v>
      </c>
      <c r="W21" s="62">
        <f t="shared" si="2"/>
        <v>11</v>
      </c>
      <c r="X21" s="7" t="str">
        <f t="shared" si="0"/>
        <v>01011</v>
      </c>
      <c r="Y21" s="7">
        <v>45</v>
      </c>
      <c r="Z21" s="61" t="str">
        <v>Infeasible</v>
      </c>
      <c r="AC21" s="66" t="str">
        <f t="shared" si="1"/>
        <v>01011</v>
      </c>
      <c r="AD21" s="7" t="str">
        <v>I-45</v>
      </c>
      <c r="AE21" s="7" t="str">
        <v>I-45</v>
      </c>
      <c r="AF21" s="7" t="str">
        <v>I-45</v>
      </c>
      <c r="AG21" s="61" t="str">
        <v>I-45</v>
      </c>
    </row>
    <row r="22" spans="1:33" x14ac:dyDescent="0.2">
      <c r="A22" s="71">
        <f t="shared" si="10"/>
        <v>6</v>
      </c>
      <c r="B22" s="7">
        <f t="shared" si="3"/>
        <v>14.317821063276353</v>
      </c>
      <c r="C22" s="7">
        <f t="shared" si="3"/>
        <v>5</v>
      </c>
      <c r="D22" s="7">
        <f t="shared" si="3"/>
        <v>9.2195444572928871</v>
      </c>
      <c r="E22" s="7">
        <f t="shared" si="3"/>
        <v>8.5440037453175304</v>
      </c>
      <c r="F22" s="51">
        <f t="shared" si="3"/>
        <v>11.401754250991379</v>
      </c>
      <c r="I22" s="58">
        <f t="shared" si="4"/>
        <v>0</v>
      </c>
      <c r="J22" s="58">
        <f t="shared" si="5"/>
        <v>1</v>
      </c>
      <c r="K22" s="58">
        <f t="shared" si="6"/>
        <v>0</v>
      </c>
      <c r="L22" s="58">
        <f t="shared" si="7"/>
        <v>0</v>
      </c>
      <c r="M22" s="58">
        <f t="shared" si="8"/>
        <v>0</v>
      </c>
      <c r="N22">
        <f t="shared" si="9"/>
        <v>1</v>
      </c>
      <c r="W22" s="62">
        <f t="shared" si="2"/>
        <v>12</v>
      </c>
      <c r="X22" s="7" t="str">
        <f t="shared" si="0"/>
        <v>01100</v>
      </c>
      <c r="Y22" s="7">
        <v>30</v>
      </c>
      <c r="Z22" s="61" t="str">
        <v>Infeasible</v>
      </c>
      <c r="AC22" s="66" t="str">
        <f t="shared" si="1"/>
        <v>01100</v>
      </c>
      <c r="AD22" s="7" t="str">
        <v>I-30</v>
      </c>
      <c r="AE22" s="7" t="str">
        <v>I-30</v>
      </c>
      <c r="AF22" s="7" t="str">
        <v>I-30</v>
      </c>
      <c r="AG22" s="61" t="str">
        <v>I-30</v>
      </c>
    </row>
    <row r="23" spans="1:33" x14ac:dyDescent="0.2">
      <c r="A23" s="71">
        <f t="shared" si="10"/>
        <v>7</v>
      </c>
      <c r="B23" s="7">
        <f t="shared" si="3"/>
        <v>5.0990195135927845</v>
      </c>
      <c r="C23" s="7">
        <f t="shared" si="3"/>
        <v>8.2462112512353212</v>
      </c>
      <c r="D23" s="7">
        <f t="shared" si="3"/>
        <v>7.2111025509279782</v>
      </c>
      <c r="E23" s="7">
        <f t="shared" si="3"/>
        <v>11.661903789690601</v>
      </c>
      <c r="F23" s="51">
        <f t="shared" si="3"/>
        <v>9.2195444572928871</v>
      </c>
      <c r="I23" s="58">
        <f t="shared" si="4"/>
        <v>1</v>
      </c>
      <c r="J23" s="58">
        <f t="shared" si="5"/>
        <v>0</v>
      </c>
      <c r="K23" s="58">
        <f t="shared" si="6"/>
        <v>0</v>
      </c>
      <c r="L23" s="58">
        <f t="shared" si="7"/>
        <v>0</v>
      </c>
      <c r="M23" s="58">
        <f t="shared" si="8"/>
        <v>0</v>
      </c>
      <c r="N23">
        <f t="shared" si="9"/>
        <v>1</v>
      </c>
      <c r="W23" s="62">
        <f t="shared" si="2"/>
        <v>13</v>
      </c>
      <c r="X23" s="7" t="str">
        <f t="shared" si="0"/>
        <v>01101</v>
      </c>
      <c r="Y23" s="7">
        <v>50</v>
      </c>
      <c r="Z23" s="61" t="str">
        <v>Infeasible</v>
      </c>
      <c r="AC23" s="66" t="str">
        <f t="shared" si="1"/>
        <v>01101</v>
      </c>
      <c r="AD23" s="7" t="str">
        <v>I-50</v>
      </c>
      <c r="AE23" s="7" t="str">
        <v>I-50</v>
      </c>
      <c r="AF23" s="7" t="str">
        <v>I-50</v>
      </c>
      <c r="AG23" s="61" t="str">
        <v>I-50</v>
      </c>
    </row>
    <row r="24" spans="1:33" x14ac:dyDescent="0.2">
      <c r="A24" s="71">
        <f t="shared" si="10"/>
        <v>8</v>
      </c>
      <c r="B24" s="7">
        <f t="shared" si="3"/>
        <v>13.038404810405298</v>
      </c>
      <c r="C24" s="7">
        <f t="shared" si="3"/>
        <v>4.4721359549995796</v>
      </c>
      <c r="D24" s="7">
        <f t="shared" si="3"/>
        <v>4.4721359549995796</v>
      </c>
      <c r="E24" s="7">
        <f t="shared" si="3"/>
        <v>4</v>
      </c>
      <c r="F24" s="51">
        <f t="shared" si="3"/>
        <v>6.4031242374328485</v>
      </c>
      <c r="I24" s="58">
        <f t="shared" si="4"/>
        <v>0</v>
      </c>
      <c r="J24" s="58">
        <f t="shared" si="5"/>
        <v>1</v>
      </c>
      <c r="K24" s="58">
        <f t="shared" si="6"/>
        <v>1</v>
      </c>
      <c r="L24" s="58">
        <f t="shared" si="7"/>
        <v>1</v>
      </c>
      <c r="M24" s="58">
        <f t="shared" si="8"/>
        <v>1</v>
      </c>
      <c r="N24">
        <f t="shared" si="9"/>
        <v>2</v>
      </c>
      <c r="W24" s="62">
        <f t="shared" si="2"/>
        <v>14</v>
      </c>
      <c r="X24" s="7" t="str">
        <f t="shared" si="0"/>
        <v>01110</v>
      </c>
      <c r="Y24" s="7">
        <v>45</v>
      </c>
      <c r="Z24" s="61" t="str">
        <v>Infeasible</v>
      </c>
      <c r="AC24" s="66" t="str">
        <f t="shared" si="1"/>
        <v>01110</v>
      </c>
      <c r="AD24" s="7" t="str">
        <v>I-45</v>
      </c>
      <c r="AE24" s="7" t="str">
        <v>I-45</v>
      </c>
      <c r="AF24" s="7" t="str">
        <v>I-45</v>
      </c>
      <c r="AG24" s="61" t="str">
        <v>I-45</v>
      </c>
    </row>
    <row r="25" spans="1:33" x14ac:dyDescent="0.2">
      <c r="A25" s="71">
        <f t="shared" si="10"/>
        <v>9</v>
      </c>
      <c r="B25" s="7">
        <f t="shared" si="3"/>
        <v>11.401754250991379</v>
      </c>
      <c r="C25" s="7">
        <f t="shared" si="3"/>
        <v>6.324555320336759</v>
      </c>
      <c r="D25" s="7">
        <f t="shared" si="3"/>
        <v>0</v>
      </c>
      <c r="E25" s="7">
        <f t="shared" si="3"/>
        <v>4.4721359549995796</v>
      </c>
      <c r="F25" s="51">
        <f t="shared" si="3"/>
        <v>3</v>
      </c>
      <c r="I25" s="58">
        <f t="shared" si="4"/>
        <v>0</v>
      </c>
      <c r="J25" s="58">
        <f t="shared" si="5"/>
        <v>1</v>
      </c>
      <c r="K25" s="58">
        <f t="shared" si="6"/>
        <v>1</v>
      </c>
      <c r="L25" s="58">
        <f t="shared" si="7"/>
        <v>1</v>
      </c>
      <c r="M25" s="58">
        <f t="shared" si="8"/>
        <v>1</v>
      </c>
      <c r="N25">
        <f t="shared" si="9"/>
        <v>2</v>
      </c>
      <c r="W25" s="62">
        <f t="shared" si="2"/>
        <v>15</v>
      </c>
      <c r="X25" s="7" t="str">
        <f t="shared" si="0"/>
        <v>01111</v>
      </c>
      <c r="Y25" s="7">
        <v>65</v>
      </c>
      <c r="Z25" s="61" t="str">
        <v>Infeasible</v>
      </c>
      <c r="AC25" s="66" t="str">
        <f t="shared" si="1"/>
        <v>01111</v>
      </c>
      <c r="AD25" s="7" t="str">
        <v>I-65</v>
      </c>
      <c r="AE25" s="7" t="str">
        <v>I-65</v>
      </c>
      <c r="AF25" s="7" t="str">
        <v>I-65</v>
      </c>
      <c r="AG25" s="61" t="str">
        <v>I-65</v>
      </c>
    </row>
    <row r="26" spans="1:33" x14ac:dyDescent="0.2">
      <c r="A26" s="71">
        <f t="shared" si="10"/>
        <v>10</v>
      </c>
      <c r="B26" s="7">
        <f t="shared" si="3"/>
        <v>10.04987562112089</v>
      </c>
      <c r="C26" s="7">
        <f t="shared" si="3"/>
        <v>10.63014581273465</v>
      </c>
      <c r="D26" s="7">
        <f t="shared" si="3"/>
        <v>6.0827625302982193</v>
      </c>
      <c r="E26" s="7">
        <f t="shared" si="3"/>
        <v>10.04987562112089</v>
      </c>
      <c r="F26" s="51">
        <f t="shared" si="3"/>
        <v>6.324555320336759</v>
      </c>
      <c r="I26" s="58">
        <f t="shared" si="4"/>
        <v>0</v>
      </c>
      <c r="J26" s="58">
        <f t="shared" si="5"/>
        <v>0</v>
      </c>
      <c r="K26" s="58">
        <f t="shared" si="6"/>
        <v>1</v>
      </c>
      <c r="L26" s="58">
        <f t="shared" si="7"/>
        <v>0</v>
      </c>
      <c r="M26" s="58">
        <f t="shared" si="8"/>
        <v>1</v>
      </c>
      <c r="N26">
        <f t="shared" si="9"/>
        <v>0</v>
      </c>
      <c r="W26" s="62">
        <f t="shared" si="2"/>
        <v>16</v>
      </c>
      <c r="X26" s="7" t="str">
        <f t="shared" si="0"/>
        <v>10000</v>
      </c>
      <c r="Y26" s="7">
        <v>15</v>
      </c>
      <c r="Z26" s="61" t="str">
        <v>Infeasible</v>
      </c>
      <c r="AC26" s="66" t="str">
        <f t="shared" si="1"/>
        <v>10000</v>
      </c>
      <c r="AD26" s="7" t="str">
        <v>I-15</v>
      </c>
      <c r="AE26" s="7" t="str">
        <v>I-15</v>
      </c>
      <c r="AF26" s="7" t="str">
        <v>I-15</v>
      </c>
      <c r="AG26" s="61" t="str">
        <v>I-15</v>
      </c>
    </row>
    <row r="27" spans="1:33" x14ac:dyDescent="0.2">
      <c r="A27" s="71">
        <f t="shared" si="10"/>
        <v>11</v>
      </c>
      <c r="B27" s="7">
        <f t="shared" si="3"/>
        <v>12.529964086141668</v>
      </c>
      <c r="C27" s="7">
        <f t="shared" si="3"/>
        <v>8.5440037453175304</v>
      </c>
      <c r="D27" s="7">
        <f t="shared" si="3"/>
        <v>2.2360679774997898</v>
      </c>
      <c r="E27" s="7">
        <f t="shared" si="3"/>
        <v>5</v>
      </c>
      <c r="F27" s="51">
        <f t="shared" si="3"/>
        <v>1.4142135623730951</v>
      </c>
      <c r="I27" s="58">
        <f t="shared" si="4"/>
        <v>0</v>
      </c>
      <c r="J27" s="58">
        <f t="shared" si="5"/>
        <v>0</v>
      </c>
      <c r="K27" s="58">
        <f t="shared" si="6"/>
        <v>1</v>
      </c>
      <c r="L27" s="58">
        <f t="shared" si="7"/>
        <v>1</v>
      </c>
      <c r="M27" s="58">
        <f t="shared" si="8"/>
        <v>1</v>
      </c>
      <c r="N27">
        <f t="shared" si="9"/>
        <v>1</v>
      </c>
      <c r="W27" s="62">
        <f t="shared" si="2"/>
        <v>17</v>
      </c>
      <c r="X27" s="7" t="str">
        <f t="shared" si="0"/>
        <v>10001</v>
      </c>
      <c r="Y27" s="7">
        <v>35</v>
      </c>
      <c r="Z27" s="61" t="str">
        <v>Infeasible</v>
      </c>
      <c r="AC27" s="66" t="str">
        <f t="shared" si="1"/>
        <v>10001</v>
      </c>
      <c r="AD27" s="7" t="str">
        <v>I-35</v>
      </c>
      <c r="AE27" s="7" t="str">
        <v>I-35</v>
      </c>
      <c r="AF27" s="7" t="str">
        <v>I-35</v>
      </c>
      <c r="AG27" s="61" t="str">
        <v>I-35</v>
      </c>
    </row>
    <row r="28" spans="1:33" x14ac:dyDescent="0.2">
      <c r="A28" s="71">
        <f t="shared" si="10"/>
        <v>12</v>
      </c>
      <c r="B28" s="7">
        <f t="shared" si="3"/>
        <v>15.556349186104045</v>
      </c>
      <c r="C28" s="7">
        <f t="shared" si="3"/>
        <v>8.2462112512353212</v>
      </c>
      <c r="D28" s="7">
        <f t="shared" si="3"/>
        <v>4.4721359549995796</v>
      </c>
      <c r="E28" s="7">
        <f t="shared" si="3"/>
        <v>0</v>
      </c>
      <c r="F28" s="51">
        <f t="shared" si="3"/>
        <v>4.1231056256176606</v>
      </c>
      <c r="I28" s="58">
        <f t="shared" si="4"/>
        <v>0</v>
      </c>
      <c r="J28" s="58">
        <f t="shared" si="5"/>
        <v>0</v>
      </c>
      <c r="K28" s="58">
        <f t="shared" si="6"/>
        <v>1</v>
      </c>
      <c r="L28" s="58">
        <f t="shared" si="7"/>
        <v>1</v>
      </c>
      <c r="M28" s="58">
        <f t="shared" si="8"/>
        <v>1</v>
      </c>
      <c r="N28">
        <f t="shared" si="9"/>
        <v>1</v>
      </c>
      <c r="W28" s="62">
        <f t="shared" si="2"/>
        <v>18</v>
      </c>
      <c r="X28" s="7" t="str">
        <f t="shared" si="0"/>
        <v>10010</v>
      </c>
      <c r="Y28" s="7">
        <v>30</v>
      </c>
      <c r="Z28" s="61" t="str">
        <v>Infeasible</v>
      </c>
      <c r="AC28" s="66" t="str">
        <f t="shared" si="1"/>
        <v>10010</v>
      </c>
      <c r="AD28" s="7" t="str">
        <v>I-30</v>
      </c>
      <c r="AE28" s="7" t="str">
        <v>I-30</v>
      </c>
      <c r="AF28" s="7" t="str">
        <v>I-30</v>
      </c>
      <c r="AG28" s="61" t="str">
        <v>I-30</v>
      </c>
    </row>
    <row r="29" spans="1:33" x14ac:dyDescent="0.2">
      <c r="A29" s="71">
        <f t="shared" si="10"/>
        <v>13</v>
      </c>
      <c r="B29" s="7">
        <f t="shared" si="3"/>
        <v>13.892443989449804</v>
      </c>
      <c r="C29" s="7">
        <f t="shared" si="3"/>
        <v>9.2195444572928871</v>
      </c>
      <c r="D29" s="7">
        <f t="shared" si="3"/>
        <v>3</v>
      </c>
      <c r="E29" s="7">
        <f t="shared" si="3"/>
        <v>4.1231056256176606</v>
      </c>
      <c r="F29" s="51">
        <f t="shared" si="3"/>
        <v>0</v>
      </c>
      <c r="I29" s="58">
        <f t="shared" si="4"/>
        <v>0</v>
      </c>
      <c r="J29" s="58">
        <f t="shared" si="5"/>
        <v>0</v>
      </c>
      <c r="K29" s="58">
        <f t="shared" si="6"/>
        <v>1</v>
      </c>
      <c r="L29" s="58">
        <f t="shared" si="7"/>
        <v>1</v>
      </c>
      <c r="M29" s="58">
        <f t="shared" si="8"/>
        <v>1</v>
      </c>
      <c r="N29">
        <f t="shared" si="9"/>
        <v>1</v>
      </c>
      <c r="W29" s="62">
        <f t="shared" si="2"/>
        <v>19</v>
      </c>
      <c r="X29" s="7" t="str">
        <f t="shared" si="0"/>
        <v>10011</v>
      </c>
      <c r="Y29" s="7">
        <v>50</v>
      </c>
      <c r="Z29" s="61" t="str">
        <v>Infeasible</v>
      </c>
      <c r="AC29" s="66" t="str">
        <f t="shared" si="1"/>
        <v>10011</v>
      </c>
      <c r="AD29" s="7" t="str">
        <v>I-50</v>
      </c>
      <c r="AE29" s="7" t="str">
        <v>I-50</v>
      </c>
      <c r="AF29" s="7" t="str">
        <v>I-50</v>
      </c>
      <c r="AG29" s="61" t="str">
        <v>I-50</v>
      </c>
    </row>
    <row r="30" spans="1:33" x14ac:dyDescent="0.2">
      <c r="A30" s="71">
        <f t="shared" si="10"/>
        <v>14</v>
      </c>
      <c r="B30" s="7">
        <f t="shared" si="3"/>
        <v>20.518284528683193</v>
      </c>
      <c r="C30" s="7">
        <f t="shared" si="3"/>
        <v>13</v>
      </c>
      <c r="D30" s="7">
        <f t="shared" si="3"/>
        <v>9.2195444572928871</v>
      </c>
      <c r="E30" s="7">
        <f t="shared" si="3"/>
        <v>5</v>
      </c>
      <c r="F30" s="51">
        <f t="shared" si="3"/>
        <v>7.6157731058639087</v>
      </c>
      <c r="I30" s="58">
        <f t="shared" si="4"/>
        <v>0</v>
      </c>
      <c r="J30" s="58">
        <f t="shared" si="5"/>
        <v>0</v>
      </c>
      <c r="K30" s="58">
        <f t="shared" si="6"/>
        <v>0</v>
      </c>
      <c r="L30" s="58">
        <f t="shared" si="7"/>
        <v>1</v>
      </c>
      <c r="M30" s="58">
        <f t="shared" si="8"/>
        <v>0</v>
      </c>
      <c r="N30">
        <f t="shared" si="9"/>
        <v>1</v>
      </c>
      <c r="W30" s="62">
        <f t="shared" si="2"/>
        <v>20</v>
      </c>
      <c r="X30" s="7" t="str">
        <f t="shared" si="0"/>
        <v>10100</v>
      </c>
      <c r="Y30" s="7">
        <v>35</v>
      </c>
      <c r="Z30" s="61" t="str">
        <v>Infeasible</v>
      </c>
      <c r="AC30" s="66" t="str">
        <f t="shared" si="1"/>
        <v>10100</v>
      </c>
      <c r="AD30" s="7" t="str">
        <v>I-35</v>
      </c>
      <c r="AE30" s="7" t="str">
        <v>I-35</v>
      </c>
      <c r="AF30" s="7" t="str">
        <v>I-35</v>
      </c>
      <c r="AG30" s="61" t="str">
        <v>I-35</v>
      </c>
    </row>
    <row r="31" spans="1:33" ht="13.5" thickBot="1" x14ac:dyDescent="0.25">
      <c r="A31" s="72">
        <f t="shared" si="10"/>
        <v>15</v>
      </c>
      <c r="B31" s="53">
        <f t="shared" si="3"/>
        <v>17</v>
      </c>
      <c r="C31" s="53">
        <f t="shared" si="3"/>
        <v>12.041594578792296</v>
      </c>
      <c r="D31" s="53">
        <f t="shared" si="3"/>
        <v>6.0827625302982193</v>
      </c>
      <c r="E31" s="53">
        <f t="shared" si="3"/>
        <v>5</v>
      </c>
      <c r="F31" s="54">
        <f t="shared" si="3"/>
        <v>3.1622776601683795</v>
      </c>
      <c r="I31" s="58">
        <f t="shared" si="4"/>
        <v>0</v>
      </c>
      <c r="J31" s="58">
        <f t="shared" si="5"/>
        <v>0</v>
      </c>
      <c r="K31" s="58">
        <f t="shared" si="6"/>
        <v>1</v>
      </c>
      <c r="L31" s="58">
        <f t="shared" si="7"/>
        <v>1</v>
      </c>
      <c r="M31" s="58">
        <f t="shared" si="8"/>
        <v>1</v>
      </c>
      <c r="N31">
        <f t="shared" si="9"/>
        <v>1</v>
      </c>
      <c r="W31" s="62">
        <f t="shared" si="2"/>
        <v>21</v>
      </c>
      <c r="X31" s="7" t="str">
        <f t="shared" si="0"/>
        <v>10101</v>
      </c>
      <c r="Y31" s="7">
        <v>55</v>
      </c>
      <c r="Z31" s="61" t="str">
        <v>Infeasible</v>
      </c>
      <c r="AC31" s="66" t="str">
        <f t="shared" si="1"/>
        <v>10101</v>
      </c>
      <c r="AD31" s="7" t="str">
        <v>I-55</v>
      </c>
      <c r="AE31" s="7" t="str">
        <v>I-55</v>
      </c>
      <c r="AF31" s="7" t="str">
        <v>I-55</v>
      </c>
      <c r="AG31" s="61" t="str">
        <v>I-55</v>
      </c>
    </row>
    <row r="32" spans="1:33" x14ac:dyDescent="0.2">
      <c r="M32" t="str">
        <f>IF(N32&lt;15,"Infeasible","feasible")</f>
        <v>Infeasible</v>
      </c>
      <c r="N32" s="2">
        <f>COUNTIF(N17:N31,"&gt;0")</f>
        <v>14</v>
      </c>
      <c r="O32" t="s">
        <v>13</v>
      </c>
      <c r="W32" s="62">
        <f t="shared" si="2"/>
        <v>22</v>
      </c>
      <c r="X32" s="7" t="str">
        <f t="shared" si="0"/>
        <v>10110</v>
      </c>
      <c r="Y32" s="7">
        <v>50</v>
      </c>
      <c r="Z32" s="61" t="str">
        <v>Infeasible</v>
      </c>
      <c r="AC32" s="66" t="str">
        <f t="shared" si="1"/>
        <v>10110</v>
      </c>
      <c r="AD32" s="7" t="str">
        <v>I-50</v>
      </c>
      <c r="AE32" s="7" t="str">
        <v>I-50</v>
      </c>
      <c r="AF32" s="7" t="str">
        <v>I-50</v>
      </c>
      <c r="AG32" s="61" t="str">
        <v>I-50</v>
      </c>
    </row>
    <row r="33" spans="14:33" x14ac:dyDescent="0.2">
      <c r="W33" s="62">
        <f t="shared" si="2"/>
        <v>23</v>
      </c>
      <c r="X33" s="7" t="str">
        <f t="shared" si="0"/>
        <v>10111</v>
      </c>
      <c r="Y33" s="7">
        <v>70</v>
      </c>
      <c r="Z33" s="61" t="str">
        <v>Infeasible</v>
      </c>
      <c r="AC33" s="66" t="str">
        <f t="shared" si="1"/>
        <v>10111</v>
      </c>
      <c r="AD33" s="7" t="str">
        <v>I-70</v>
      </c>
      <c r="AE33" s="7" t="str">
        <v>I-70</v>
      </c>
      <c r="AF33" s="7" t="str">
        <v>I-70</v>
      </c>
      <c r="AG33" s="61" t="str">
        <v>I-70</v>
      </c>
    </row>
    <row r="34" spans="14:33" x14ac:dyDescent="0.2">
      <c r="N34" s="73">
        <f>SUMPRODUCT(I14:M14,I12:M12)</f>
        <v>40</v>
      </c>
      <c r="O34" t="s">
        <v>5</v>
      </c>
      <c r="W34" s="62">
        <f t="shared" si="2"/>
        <v>24</v>
      </c>
      <c r="X34" s="7" t="str">
        <f t="shared" si="0"/>
        <v>11000</v>
      </c>
      <c r="Y34" s="7">
        <v>25</v>
      </c>
      <c r="Z34" s="61" t="str">
        <v>Infeasible</v>
      </c>
      <c r="AC34" s="66" t="str">
        <f t="shared" si="1"/>
        <v>11000</v>
      </c>
      <c r="AD34" s="7" t="str">
        <v>I-25</v>
      </c>
      <c r="AE34" s="7" t="str">
        <v>I-25</v>
      </c>
      <c r="AF34" s="7" t="str">
        <v>I-25</v>
      </c>
      <c r="AG34" s="61" t="str">
        <v>I-25</v>
      </c>
    </row>
    <row r="35" spans="14:33" x14ac:dyDescent="0.2">
      <c r="W35" s="62">
        <f t="shared" si="2"/>
        <v>25</v>
      </c>
      <c r="X35" s="7" t="str">
        <f t="shared" si="0"/>
        <v>11001</v>
      </c>
      <c r="Y35" s="7">
        <v>45</v>
      </c>
      <c r="Z35" s="61" t="str">
        <v>Infeasible</v>
      </c>
      <c r="AC35" s="66" t="str">
        <f t="shared" si="1"/>
        <v>11001</v>
      </c>
      <c r="AD35" s="7" t="str">
        <v>I-45</v>
      </c>
      <c r="AE35" s="7" t="str">
        <v>I-45</v>
      </c>
      <c r="AF35" s="7" t="str">
        <v>I-45</v>
      </c>
      <c r="AG35" s="61" t="str">
        <v>f-45</v>
      </c>
    </row>
    <row r="36" spans="14:33" x14ac:dyDescent="0.2">
      <c r="W36" s="62">
        <f t="shared" si="2"/>
        <v>26</v>
      </c>
      <c r="X36" s="7" t="str">
        <f t="shared" si="0"/>
        <v>11010</v>
      </c>
      <c r="Y36" s="7">
        <v>40</v>
      </c>
      <c r="Z36" s="61" t="str">
        <v>Infeasible</v>
      </c>
      <c r="AC36" s="66" t="str">
        <f t="shared" si="1"/>
        <v>11010</v>
      </c>
      <c r="AD36" s="7" t="str">
        <v>I-40</v>
      </c>
      <c r="AE36" s="7" t="str">
        <v>I-40</v>
      </c>
      <c r="AF36" s="7" t="str">
        <v>I-40</v>
      </c>
      <c r="AG36" s="61" t="str">
        <v>I-40</v>
      </c>
    </row>
    <row r="37" spans="14:33" x14ac:dyDescent="0.2">
      <c r="W37" s="62">
        <f t="shared" si="2"/>
        <v>27</v>
      </c>
      <c r="X37" s="7" t="str">
        <f>DEC2BIN(W37,5)</f>
        <v>11011</v>
      </c>
      <c r="Y37" s="7">
        <v>60</v>
      </c>
      <c r="Z37" s="61" t="str">
        <v>feasible</v>
      </c>
      <c r="AC37" s="66" t="str">
        <f t="shared" si="1"/>
        <v>11011</v>
      </c>
      <c r="AD37" s="7" t="str">
        <v>f-60</v>
      </c>
      <c r="AE37" s="7" t="str">
        <v>f-60</v>
      </c>
      <c r="AF37" s="7" t="str">
        <v>f-60</v>
      </c>
      <c r="AG37" s="61" t="str">
        <v>f-60</v>
      </c>
    </row>
    <row r="38" spans="14:33" x14ac:dyDescent="0.2">
      <c r="W38" s="62">
        <f t="shared" si="2"/>
        <v>28</v>
      </c>
      <c r="X38" s="7" t="str">
        <f t="shared" si="0"/>
        <v>11100</v>
      </c>
      <c r="Y38" s="7">
        <v>45</v>
      </c>
      <c r="Z38" s="61" t="str">
        <v>Infeasible</v>
      </c>
      <c r="AC38" s="66" t="str">
        <f t="shared" si="1"/>
        <v>11100</v>
      </c>
      <c r="AD38" s="7" t="str">
        <v>I-45</v>
      </c>
      <c r="AE38" s="7" t="str">
        <v>I-45</v>
      </c>
      <c r="AF38" s="7" t="str">
        <v>I-45</v>
      </c>
      <c r="AG38" s="61" t="str">
        <v>I-45</v>
      </c>
    </row>
    <row r="39" spans="14:33" x14ac:dyDescent="0.2">
      <c r="W39" s="62">
        <f t="shared" si="2"/>
        <v>29</v>
      </c>
      <c r="X39" s="7" t="str">
        <f t="shared" si="0"/>
        <v>11101</v>
      </c>
      <c r="Y39" s="7">
        <v>65</v>
      </c>
      <c r="Z39" s="61" t="str">
        <v>Infeasible</v>
      </c>
      <c r="AC39" s="66" t="str">
        <f t="shared" si="1"/>
        <v>11101</v>
      </c>
      <c r="AD39" s="7" t="str">
        <v>I-65</v>
      </c>
      <c r="AE39" s="7" t="str">
        <v>I-65</v>
      </c>
      <c r="AF39" s="7" t="str">
        <v>I-65</v>
      </c>
      <c r="AG39" s="61" t="str">
        <v>f-65</v>
      </c>
    </row>
    <row r="40" spans="14:33" x14ac:dyDescent="0.2">
      <c r="W40" s="62">
        <f t="shared" si="2"/>
        <v>30</v>
      </c>
      <c r="X40" s="7" t="str">
        <f t="shared" si="0"/>
        <v>11110</v>
      </c>
      <c r="Y40" s="7">
        <v>60</v>
      </c>
      <c r="Z40" s="61" t="str">
        <v>feasible</v>
      </c>
      <c r="AC40" s="66" t="str">
        <f t="shared" si="1"/>
        <v>11110</v>
      </c>
      <c r="AD40" s="7" t="str">
        <v>f-60</v>
      </c>
      <c r="AE40" s="7" t="str">
        <v>f-60</v>
      </c>
      <c r="AF40" s="7" t="str">
        <v>f-60</v>
      </c>
      <c r="AG40" s="61" t="str">
        <v>f-60</v>
      </c>
    </row>
    <row r="41" spans="14:33" x14ac:dyDescent="0.2">
      <c r="W41" s="63">
        <f t="shared" si="2"/>
        <v>31</v>
      </c>
      <c r="X41" s="24" t="str">
        <f t="shared" si="0"/>
        <v>11111</v>
      </c>
      <c r="Y41" s="24">
        <v>80</v>
      </c>
      <c r="Z41" s="64" t="str">
        <v>feasible</v>
      </c>
      <c r="AC41" s="67" t="str">
        <f t="shared" si="1"/>
        <v>11111</v>
      </c>
      <c r="AD41" s="24" t="str">
        <v>f-80</v>
      </c>
      <c r="AE41" s="24" t="str">
        <v>f-80</v>
      </c>
      <c r="AF41" s="24" t="str">
        <v>f-80</v>
      </c>
      <c r="AG41" s="64" t="str">
        <v>f-80</v>
      </c>
    </row>
    <row r="42" spans="14:33" x14ac:dyDescent="0.2">
      <c r="W42" s="4"/>
      <c r="X42" s="4"/>
    </row>
  </sheetData>
  <phoneticPr fontId="0" type="noConversion"/>
  <conditionalFormatting sqref="N32">
    <cfRule type="cellIs" dxfId="4" priority="1" stopIfTrue="1" operator="lessThan">
      <formula>15</formula>
    </cfRule>
    <cfRule type="cellIs" dxfId="3" priority="2" stopIfTrue="1" operator="equal">
      <formula>15</formula>
    </cfRule>
  </conditionalFormatting>
  <conditionalFormatting sqref="X10:AA41">
    <cfRule type="cellIs" dxfId="2" priority="3" stopIfTrue="1" operator="equal">
      <formula>"feasible"</formula>
    </cfRule>
  </conditionalFormatting>
  <conditionalFormatting sqref="AC10:AG41">
    <cfRule type="expression" dxfId="1" priority="4" stopIfTrue="1">
      <formula>(LEFT(AC10,1)="f")</formula>
    </cfRule>
  </conditionalFormatting>
  <conditionalFormatting sqref="X10:X41">
    <cfRule type="expression" dxfId="0" priority="5" stopIfTrue="1">
      <formula>(Z10="feasible")</formula>
    </cfRule>
  </conditionalFormatting>
  <pageMargins left="0.75" right="0.75" top="1" bottom="1" header="0.5" footer="0.5"/>
  <pageSetup paperSize="9" orientation="portrait" r:id="rId1"/>
  <headerFooter alignWithMargins="0"/>
  <ignoredErrors>
    <ignoredError sqref="O1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r1">
                <anchor moveWithCells="1" sizeWithCells="1">
                  <from>
                    <xdr:col>8</xdr:col>
                    <xdr:colOff>314325</xdr:colOff>
                    <xdr:row>37</xdr:row>
                    <xdr:rowOff>28575</xdr:rowOff>
                  </from>
                  <to>
                    <xdr:col>11</xdr:col>
                    <xdr:colOff>47625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_after_solver">
                <anchor moveWithCells="1" sizeWithCells="1">
                  <from>
                    <xdr:col>12</xdr:col>
                    <xdr:colOff>504825</xdr:colOff>
                    <xdr:row>37</xdr:row>
                    <xdr:rowOff>38100</xdr:rowOff>
                  </from>
                  <to>
                    <xdr:col>14</xdr:col>
                    <xdr:colOff>257175</xdr:colOff>
                    <xdr:row>39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70"/>
  <sheetViews>
    <sheetView workbookViewId="0">
      <selection activeCell="AE42" sqref="AE42"/>
    </sheetView>
  </sheetViews>
  <sheetFormatPr defaultRowHeight="12.75" x14ac:dyDescent="0.2"/>
  <cols>
    <col min="1" max="1" width="7" style="7" bestFit="1" customWidth="1"/>
    <col min="2" max="2" width="5.7109375" style="7" customWidth="1"/>
    <col min="3" max="3" width="4.85546875" style="7" customWidth="1"/>
    <col min="4" max="4" width="7.42578125" style="7" customWidth="1"/>
    <col min="5" max="5" width="5.5703125" style="7" customWidth="1"/>
    <col min="6" max="6" width="5.28515625" style="7" customWidth="1"/>
    <col min="7" max="7" width="5.42578125" style="7" customWidth="1"/>
    <col min="8" max="8" width="5.5703125" style="7" customWidth="1"/>
    <col min="9" max="9" width="5.85546875" style="7" customWidth="1"/>
    <col min="10" max="10" width="6" style="7" customWidth="1"/>
    <col min="11" max="11" width="5.5703125" style="7" customWidth="1"/>
    <col min="12" max="15" width="5.42578125" style="7" customWidth="1"/>
    <col min="16" max="17" width="5.7109375" style="7" customWidth="1"/>
    <col min="18" max="18" width="5.28515625" style="7" customWidth="1"/>
    <col min="19" max="19" width="5.85546875" style="7" customWidth="1"/>
    <col min="20" max="20" width="6.42578125" style="7" customWidth="1"/>
    <col min="21" max="21" width="4.28515625" style="7" customWidth="1"/>
    <col min="22" max="22" width="4.7109375" style="7" customWidth="1"/>
    <col min="23" max="23" width="5.28515625" style="7" customWidth="1"/>
    <col min="24" max="24" width="6.5703125" style="7" customWidth="1"/>
    <col min="25" max="25" width="5.28515625" style="7" customWidth="1"/>
    <col min="26" max="26" width="3.42578125" style="7" bestFit="1" customWidth="1"/>
    <col min="27" max="16384" width="9.140625" style="7"/>
  </cols>
  <sheetData>
    <row r="1" spans="1:26" x14ac:dyDescent="0.2">
      <c r="A1" s="5" t="s">
        <v>16</v>
      </c>
      <c r="B1" s="6">
        <v>1</v>
      </c>
      <c r="C1" s="6">
        <v>2</v>
      </c>
      <c r="D1" s="6">
        <v>3</v>
      </c>
      <c r="E1" s="6">
        <v>4</v>
      </c>
      <c r="F1" s="6">
        <v>5</v>
      </c>
      <c r="G1" s="6">
        <v>6</v>
      </c>
      <c r="H1" s="6">
        <v>7</v>
      </c>
      <c r="I1" s="6">
        <v>8</v>
      </c>
      <c r="J1" s="6">
        <v>9</v>
      </c>
      <c r="K1" s="6">
        <v>10</v>
      </c>
      <c r="L1" s="6">
        <v>11</v>
      </c>
      <c r="M1" s="6">
        <v>12</v>
      </c>
      <c r="N1" s="6">
        <v>13</v>
      </c>
      <c r="O1" s="6">
        <v>14</v>
      </c>
      <c r="P1" s="6">
        <v>15</v>
      </c>
      <c r="Q1" s="5">
        <v>16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</row>
    <row r="2" spans="1:26" x14ac:dyDescent="0.2">
      <c r="A2" s="8" t="s">
        <v>17</v>
      </c>
      <c r="B2" s="9">
        <v>3</v>
      </c>
      <c r="C2" s="9">
        <v>8</v>
      </c>
      <c r="D2" s="9">
        <v>16</v>
      </c>
      <c r="E2" s="9">
        <v>8</v>
      </c>
      <c r="F2" s="9">
        <v>12</v>
      </c>
      <c r="G2" s="9">
        <v>17</v>
      </c>
      <c r="H2" s="9">
        <v>4</v>
      </c>
      <c r="I2" s="9">
        <v>14</v>
      </c>
      <c r="J2" s="9">
        <v>10</v>
      </c>
      <c r="K2" s="9">
        <v>4</v>
      </c>
      <c r="L2" s="9">
        <v>9</v>
      </c>
      <c r="M2" s="9">
        <v>14</v>
      </c>
      <c r="N2" s="9">
        <v>10</v>
      </c>
      <c r="O2" s="9">
        <v>17</v>
      </c>
      <c r="P2" s="9">
        <v>11</v>
      </c>
      <c r="Q2" s="10">
        <v>4</v>
      </c>
      <c r="R2" s="10">
        <v>6</v>
      </c>
      <c r="S2" s="10">
        <v>5</v>
      </c>
      <c r="T2" s="10">
        <v>7</v>
      </c>
      <c r="U2" s="10">
        <v>10</v>
      </c>
      <c r="V2" s="10">
        <v>12</v>
      </c>
      <c r="W2" s="10">
        <v>14</v>
      </c>
      <c r="X2" s="10">
        <v>15</v>
      </c>
      <c r="Y2" s="10">
        <v>17</v>
      </c>
      <c r="Z2" s="10">
        <v>16</v>
      </c>
    </row>
    <row r="3" spans="1:26" x14ac:dyDescent="0.2">
      <c r="A3" s="8" t="s">
        <v>18</v>
      </c>
      <c r="B3" s="9">
        <v>3</v>
      </c>
      <c r="C3" s="9">
        <v>2</v>
      </c>
      <c r="D3" s="9">
        <v>2</v>
      </c>
      <c r="E3" s="9">
        <v>5</v>
      </c>
      <c r="F3" s="9">
        <v>6</v>
      </c>
      <c r="G3" s="9">
        <v>6</v>
      </c>
      <c r="H3" s="9">
        <v>8</v>
      </c>
      <c r="I3" s="9">
        <v>10</v>
      </c>
      <c r="J3" s="9">
        <v>12</v>
      </c>
      <c r="K3" s="9">
        <v>13</v>
      </c>
      <c r="L3" s="9">
        <v>14</v>
      </c>
      <c r="M3" s="9">
        <v>14</v>
      </c>
      <c r="N3" s="9">
        <v>15</v>
      </c>
      <c r="O3" s="9">
        <v>18</v>
      </c>
      <c r="P3" s="9">
        <v>18</v>
      </c>
      <c r="Q3" s="10">
        <v>4</v>
      </c>
      <c r="R3" s="10">
        <v>2</v>
      </c>
      <c r="S3" s="10">
        <v>4</v>
      </c>
      <c r="T3" s="10">
        <v>3</v>
      </c>
      <c r="U3" s="10">
        <v>3</v>
      </c>
      <c r="V3" s="10">
        <v>2</v>
      </c>
      <c r="W3" s="10">
        <v>3</v>
      </c>
      <c r="X3" s="10">
        <v>4</v>
      </c>
      <c r="Y3" s="10">
        <v>4</v>
      </c>
      <c r="Z3" s="10">
        <v>5</v>
      </c>
    </row>
    <row r="4" spans="1:26" x14ac:dyDescent="0.2">
      <c r="A4" s="5" t="s">
        <v>16</v>
      </c>
      <c r="B4" s="6">
        <v>26</v>
      </c>
      <c r="C4" s="6">
        <v>27</v>
      </c>
      <c r="D4" s="6">
        <v>28</v>
      </c>
      <c r="E4" s="6">
        <v>29</v>
      </c>
      <c r="F4" s="6">
        <v>30</v>
      </c>
      <c r="G4" s="6">
        <v>31</v>
      </c>
      <c r="H4" s="6">
        <v>32</v>
      </c>
      <c r="I4" s="6">
        <v>33</v>
      </c>
      <c r="J4" s="6">
        <v>34</v>
      </c>
      <c r="K4" s="6">
        <v>35</v>
      </c>
      <c r="L4" s="6">
        <v>36</v>
      </c>
      <c r="M4" s="6">
        <v>37</v>
      </c>
      <c r="N4" s="6">
        <v>38</v>
      </c>
      <c r="O4" s="6">
        <v>39</v>
      </c>
      <c r="P4" s="6">
        <v>40</v>
      </c>
      <c r="Q4" s="5">
        <v>41</v>
      </c>
      <c r="R4" s="5">
        <v>42</v>
      </c>
      <c r="S4" s="5">
        <v>43</v>
      </c>
      <c r="T4" s="5">
        <v>44</v>
      </c>
      <c r="U4" s="5">
        <v>45</v>
      </c>
      <c r="V4" s="5">
        <v>46</v>
      </c>
      <c r="W4" s="5">
        <v>47</v>
      </c>
      <c r="X4" s="5">
        <v>48</v>
      </c>
      <c r="Y4" s="5">
        <v>49</v>
      </c>
      <c r="Z4" s="5">
        <v>50</v>
      </c>
    </row>
    <row r="5" spans="1:26" x14ac:dyDescent="0.2">
      <c r="A5" s="8" t="s">
        <v>17</v>
      </c>
      <c r="B5" s="9">
        <v>15</v>
      </c>
      <c r="C5" s="9">
        <v>15</v>
      </c>
      <c r="D5" s="9">
        <v>13</v>
      </c>
      <c r="E5" s="9">
        <v>7</v>
      </c>
      <c r="F5" s="9">
        <v>5</v>
      </c>
      <c r="G5" s="9">
        <v>10</v>
      </c>
      <c r="H5" s="9">
        <v>8</v>
      </c>
      <c r="I5" s="9">
        <v>8</v>
      </c>
      <c r="J5" s="9">
        <v>11</v>
      </c>
      <c r="K5" s="9">
        <v>10</v>
      </c>
      <c r="L5" s="9">
        <v>10</v>
      </c>
      <c r="M5" s="9">
        <v>13</v>
      </c>
      <c r="N5" s="9">
        <v>6</v>
      </c>
      <c r="O5" s="9">
        <v>6</v>
      </c>
      <c r="P5" s="9">
        <v>5</v>
      </c>
      <c r="Q5" s="10">
        <v>8</v>
      </c>
      <c r="R5" s="10">
        <v>8</v>
      </c>
      <c r="S5" s="10">
        <v>11</v>
      </c>
      <c r="T5" s="10">
        <v>11</v>
      </c>
      <c r="U5" s="10">
        <v>12</v>
      </c>
      <c r="V5" s="10">
        <v>16</v>
      </c>
      <c r="W5" s="10">
        <v>14</v>
      </c>
      <c r="X5" s="10">
        <v>14</v>
      </c>
      <c r="Y5" s="10">
        <v>10</v>
      </c>
      <c r="Z5" s="10">
        <v>6</v>
      </c>
    </row>
    <row r="6" spans="1:26" x14ac:dyDescent="0.2">
      <c r="A6" s="8" t="s">
        <v>18</v>
      </c>
      <c r="B6" s="9">
        <v>6</v>
      </c>
      <c r="C6" s="9">
        <v>7</v>
      </c>
      <c r="D6" s="9">
        <v>8</v>
      </c>
      <c r="E6" s="9">
        <v>6</v>
      </c>
      <c r="F6" s="9">
        <v>6</v>
      </c>
      <c r="G6" s="9">
        <v>6</v>
      </c>
      <c r="H6" s="9">
        <v>8</v>
      </c>
      <c r="I6" s="9">
        <v>9</v>
      </c>
      <c r="J6" s="9">
        <v>9</v>
      </c>
      <c r="K6" s="9">
        <v>10</v>
      </c>
      <c r="L6" s="9">
        <v>12</v>
      </c>
      <c r="M6" s="9">
        <v>10</v>
      </c>
      <c r="N6" s="9">
        <v>13</v>
      </c>
      <c r="O6" s="9">
        <v>15</v>
      </c>
      <c r="P6" s="9">
        <v>14</v>
      </c>
      <c r="Q6" s="10">
        <v>16</v>
      </c>
      <c r="R6" s="10">
        <v>17</v>
      </c>
      <c r="S6" s="10">
        <v>18</v>
      </c>
      <c r="T6" s="10">
        <v>16</v>
      </c>
      <c r="U6" s="10">
        <v>13</v>
      </c>
      <c r="V6" s="10">
        <v>16</v>
      </c>
      <c r="W6" s="10">
        <v>16</v>
      </c>
      <c r="X6" s="10">
        <v>18</v>
      </c>
      <c r="Y6" s="10">
        <v>8</v>
      </c>
      <c r="Z6" s="10">
        <v>10</v>
      </c>
    </row>
    <row r="7" spans="1:26" x14ac:dyDescent="0.2">
      <c r="A7" s="11" t="s">
        <v>19</v>
      </c>
      <c r="B7" s="6">
        <v>1</v>
      </c>
      <c r="C7" s="6">
        <v>2</v>
      </c>
      <c r="D7" s="6">
        <v>3</v>
      </c>
      <c r="E7" s="6">
        <v>4</v>
      </c>
      <c r="F7" s="6">
        <v>5</v>
      </c>
      <c r="G7" s="6">
        <v>6</v>
      </c>
      <c r="H7" s="6">
        <v>7</v>
      </c>
      <c r="I7" s="6">
        <v>8</v>
      </c>
      <c r="J7" s="6">
        <v>9</v>
      </c>
      <c r="K7" s="6">
        <v>10</v>
      </c>
      <c r="L7" s="6">
        <v>11</v>
      </c>
      <c r="M7" s="6">
        <v>12</v>
      </c>
      <c r="N7" s="6">
        <v>13</v>
      </c>
      <c r="O7" s="6">
        <v>14</v>
      </c>
      <c r="P7" s="6">
        <v>15</v>
      </c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">
      <c r="A8" s="11" t="s">
        <v>20</v>
      </c>
      <c r="B8" s="9">
        <v>4</v>
      </c>
      <c r="C8" s="9">
        <v>5</v>
      </c>
      <c r="D8" s="9">
        <v>6</v>
      </c>
      <c r="E8" s="9">
        <v>9</v>
      </c>
      <c r="F8" s="9">
        <v>12</v>
      </c>
      <c r="G8" s="9">
        <v>18</v>
      </c>
      <c r="H8" s="9">
        <v>50</v>
      </c>
      <c r="I8" s="9">
        <v>34</v>
      </c>
      <c r="J8" s="9">
        <v>22</v>
      </c>
      <c r="K8" s="9">
        <v>27</v>
      </c>
      <c r="L8" s="9">
        <v>47</v>
      </c>
      <c r="M8" s="9">
        <v>13</v>
      </c>
      <c r="N8" s="9">
        <v>38</v>
      </c>
      <c r="O8" s="9">
        <v>41</v>
      </c>
      <c r="P8" s="9">
        <v>44</v>
      </c>
      <c r="Q8" s="10"/>
      <c r="R8" s="10"/>
      <c r="S8" s="10"/>
      <c r="T8" s="12"/>
      <c r="U8" s="13" t="s">
        <v>21</v>
      </c>
      <c r="V8" s="13" t="s">
        <v>22</v>
      </c>
      <c r="W8" s="14"/>
      <c r="X8" s="15"/>
      <c r="Y8" s="10"/>
      <c r="Z8" s="10"/>
    </row>
    <row r="9" spans="1:26" x14ac:dyDescent="0.2">
      <c r="A9" s="11" t="s">
        <v>5</v>
      </c>
      <c r="B9" s="9">
        <v>8</v>
      </c>
      <c r="C9" s="9">
        <v>10</v>
      </c>
      <c r="D9" s="9">
        <v>10</v>
      </c>
      <c r="E9" s="9">
        <v>20</v>
      </c>
      <c r="F9" s="9">
        <v>15</v>
      </c>
      <c r="G9" s="9">
        <v>18</v>
      </c>
      <c r="H9" s="9">
        <v>10</v>
      </c>
      <c r="I9" s="9">
        <v>8</v>
      </c>
      <c r="J9" s="9">
        <v>6</v>
      </c>
      <c r="K9" s="9">
        <v>15</v>
      </c>
      <c r="L9" s="9">
        <v>10</v>
      </c>
      <c r="M9" s="9">
        <v>20</v>
      </c>
      <c r="N9" s="9">
        <v>6</v>
      </c>
      <c r="O9" s="9">
        <v>10</v>
      </c>
      <c r="P9" s="9">
        <v>8</v>
      </c>
      <c r="Q9" s="10"/>
      <c r="R9" s="10"/>
      <c r="S9" s="10"/>
      <c r="T9" s="16"/>
      <c r="U9" s="17">
        <v>1</v>
      </c>
      <c r="V9" s="17">
        <v>1</v>
      </c>
      <c r="W9" s="18" t="s">
        <v>23</v>
      </c>
      <c r="X9" s="19">
        <v>4</v>
      </c>
      <c r="Y9" s="10"/>
      <c r="Z9" s="10"/>
    </row>
    <row r="10" spans="1:26" x14ac:dyDescent="0.2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10"/>
      <c r="R10" s="10"/>
      <c r="S10" s="10"/>
      <c r="T10" s="20" t="s">
        <v>24</v>
      </c>
      <c r="U10" s="7">
        <f>VLOOKUP(U9,A17:C66,2,0)</f>
        <v>3</v>
      </c>
      <c r="V10" s="7">
        <f>VLOOKUP(HLOOKUP(V9,E13:S14,2,0),A17:C66,2,0)</f>
        <v>8</v>
      </c>
      <c r="W10" s="21" t="s">
        <v>25</v>
      </c>
      <c r="X10" s="22" t="s">
        <v>26</v>
      </c>
      <c r="Y10" s="10"/>
      <c r="Z10" s="10"/>
    </row>
    <row r="11" spans="1:26" x14ac:dyDescent="0.2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23" t="s">
        <v>27</v>
      </c>
      <c r="U11" s="24">
        <f>VLOOKUP(U9,A17:C66,3,0)</f>
        <v>3</v>
      </c>
      <c r="V11" s="24">
        <f>VLOOKUP(HLOOKUP(V9,E13:S14,2,0),A17:C66,3,0)</f>
        <v>5</v>
      </c>
      <c r="W11" s="24">
        <f>SQRT((U11-V11)^2+(U10-V10)^2)</f>
        <v>5.3851648071345037</v>
      </c>
      <c r="X11" s="25">
        <f>IF(W11&lt;=X9,1,0)</f>
        <v>0</v>
      </c>
      <c r="Y11" s="10"/>
      <c r="Z11" s="10"/>
    </row>
    <row r="12" spans="1:26" x14ac:dyDescent="0.2">
      <c r="D12" s="26" t="s">
        <v>28</v>
      </c>
      <c r="E12" s="27">
        <v>0</v>
      </c>
      <c r="F12" s="28">
        <v>0</v>
      </c>
      <c r="G12" s="28">
        <v>0.99999999999766942</v>
      </c>
      <c r="H12" s="28">
        <v>0</v>
      </c>
      <c r="I12" s="28">
        <v>0</v>
      </c>
      <c r="J12" s="28">
        <v>1</v>
      </c>
      <c r="K12" s="28">
        <v>1</v>
      </c>
      <c r="L12" s="28">
        <v>0.99999999999533884</v>
      </c>
      <c r="M12" s="28">
        <v>1</v>
      </c>
      <c r="N12" s="28">
        <v>0</v>
      </c>
      <c r="O12" s="28">
        <v>1</v>
      </c>
      <c r="P12" s="28">
        <v>0</v>
      </c>
      <c r="Q12" s="28">
        <v>0</v>
      </c>
      <c r="R12" s="28">
        <v>0.99999999999533884</v>
      </c>
      <c r="S12" s="29">
        <v>0</v>
      </c>
    </row>
    <row r="13" spans="1:26" x14ac:dyDescent="0.2">
      <c r="D13" s="11" t="s">
        <v>19</v>
      </c>
      <c r="E13" s="6">
        <v>1</v>
      </c>
      <c r="F13" s="6">
        <v>2</v>
      </c>
      <c r="G13" s="6">
        <v>3</v>
      </c>
      <c r="H13" s="6">
        <v>4</v>
      </c>
      <c r="I13" s="6">
        <v>5</v>
      </c>
      <c r="J13" s="6">
        <v>6</v>
      </c>
      <c r="K13" s="6">
        <v>7</v>
      </c>
      <c r="L13" s="6">
        <v>8</v>
      </c>
      <c r="M13" s="6">
        <v>9</v>
      </c>
      <c r="N13" s="6">
        <v>10</v>
      </c>
      <c r="O13" s="6">
        <v>11</v>
      </c>
      <c r="P13" s="6">
        <v>12</v>
      </c>
      <c r="Q13" s="6">
        <v>13</v>
      </c>
      <c r="R13" s="6">
        <v>14</v>
      </c>
      <c r="S13" s="6">
        <v>15</v>
      </c>
      <c r="T13" s="21" t="s">
        <v>5</v>
      </c>
    </row>
    <row r="14" spans="1:26" x14ac:dyDescent="0.2">
      <c r="D14" s="11" t="s">
        <v>20</v>
      </c>
      <c r="E14" s="9">
        <v>4</v>
      </c>
      <c r="F14" s="9">
        <v>5</v>
      </c>
      <c r="G14" s="9">
        <v>6</v>
      </c>
      <c r="H14" s="9">
        <v>9</v>
      </c>
      <c r="I14" s="9">
        <v>12</v>
      </c>
      <c r="J14" s="9">
        <v>18</v>
      </c>
      <c r="K14" s="9">
        <v>50</v>
      </c>
      <c r="L14" s="9">
        <v>34</v>
      </c>
      <c r="M14" s="9">
        <v>22</v>
      </c>
      <c r="N14" s="9">
        <v>27</v>
      </c>
      <c r="O14" s="9">
        <v>47</v>
      </c>
      <c r="P14" s="9">
        <v>13</v>
      </c>
      <c r="Q14" s="9">
        <v>38</v>
      </c>
      <c r="R14" s="9">
        <v>41</v>
      </c>
      <c r="S14" s="9">
        <v>44</v>
      </c>
      <c r="T14" s="21">
        <f>SUMPRODUCT(E12:S12,E15:S15)</f>
        <v>71.999999999892793</v>
      </c>
    </row>
    <row r="15" spans="1:26" x14ac:dyDescent="0.2">
      <c r="D15" s="11" t="s">
        <v>5</v>
      </c>
      <c r="E15" s="9">
        <v>8</v>
      </c>
      <c r="F15" s="9">
        <v>10</v>
      </c>
      <c r="G15" s="9">
        <v>10</v>
      </c>
      <c r="H15" s="9">
        <v>20</v>
      </c>
      <c r="I15" s="9">
        <v>15</v>
      </c>
      <c r="J15" s="9">
        <v>18</v>
      </c>
      <c r="K15" s="9">
        <v>10</v>
      </c>
      <c r="L15" s="9">
        <v>8</v>
      </c>
      <c r="M15" s="9">
        <v>6</v>
      </c>
      <c r="N15" s="9">
        <v>15</v>
      </c>
      <c r="O15" s="9">
        <v>10</v>
      </c>
      <c r="P15" s="9">
        <v>20</v>
      </c>
      <c r="Q15" s="9">
        <v>6</v>
      </c>
      <c r="R15" s="9">
        <v>10</v>
      </c>
      <c r="S15" s="9">
        <v>8</v>
      </c>
      <c r="T15" s="21"/>
    </row>
    <row r="16" spans="1:26" x14ac:dyDescent="0.2">
      <c r="A16" s="5" t="s">
        <v>16</v>
      </c>
      <c r="B16" s="8" t="s">
        <v>17</v>
      </c>
      <c r="C16" s="8" t="s">
        <v>18</v>
      </c>
      <c r="D16" s="7">
        <f>X11</f>
        <v>0</v>
      </c>
      <c r="E16" s="6">
        <v>1</v>
      </c>
      <c r="F16" s="6">
        <v>2</v>
      </c>
      <c r="G16" s="6">
        <v>3</v>
      </c>
      <c r="H16" s="6">
        <v>4</v>
      </c>
      <c r="I16" s="6">
        <v>5</v>
      </c>
      <c r="J16" s="6">
        <v>6</v>
      </c>
      <c r="K16" s="6">
        <v>7</v>
      </c>
      <c r="L16" s="6">
        <v>8</v>
      </c>
      <c r="M16" s="6">
        <v>9</v>
      </c>
      <c r="N16" s="6">
        <v>10</v>
      </c>
      <c r="O16" s="6">
        <v>11</v>
      </c>
      <c r="P16" s="6">
        <v>12</v>
      </c>
      <c r="Q16" s="6">
        <v>13</v>
      </c>
      <c r="R16" s="6">
        <v>14</v>
      </c>
      <c r="S16" s="6">
        <v>15</v>
      </c>
      <c r="T16" s="21" t="s">
        <v>29</v>
      </c>
      <c r="U16" s="21"/>
      <c r="V16" s="21"/>
    </row>
    <row r="17" spans="1:20" x14ac:dyDescent="0.2">
      <c r="A17" s="6">
        <v>1</v>
      </c>
      <c r="B17" s="9">
        <v>3</v>
      </c>
      <c r="C17" s="9">
        <v>3</v>
      </c>
      <c r="D17" s="7">
        <v>1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1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30">
        <f t="array" ref="T17:T66">MMULT(E17:S66,TRANSPOSE(E12:S12))</f>
        <v>1</v>
      </c>
    </row>
    <row r="18" spans="1:20" x14ac:dyDescent="0.2">
      <c r="A18" s="6">
        <v>2</v>
      </c>
      <c r="B18" s="9">
        <v>8</v>
      </c>
      <c r="C18" s="9">
        <v>2</v>
      </c>
      <c r="D18" s="7">
        <v>2</v>
      </c>
      <c r="E18" s="7">
        <v>1</v>
      </c>
      <c r="F18" s="7">
        <v>0</v>
      </c>
      <c r="G18" s="7">
        <v>0</v>
      </c>
      <c r="H18" s="7">
        <v>0</v>
      </c>
      <c r="I18" s="7">
        <v>0</v>
      </c>
      <c r="J18" s="7">
        <v>1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31">
        <v>1</v>
      </c>
    </row>
    <row r="19" spans="1:20" x14ac:dyDescent="0.2">
      <c r="A19" s="6">
        <v>3</v>
      </c>
      <c r="B19" s="9">
        <v>16</v>
      </c>
      <c r="C19" s="9">
        <v>2</v>
      </c>
      <c r="D19" s="7">
        <v>3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1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31">
        <v>1</v>
      </c>
    </row>
    <row r="20" spans="1:20" x14ac:dyDescent="0.2">
      <c r="A20" s="6">
        <v>4</v>
      </c>
      <c r="B20" s="9">
        <v>8</v>
      </c>
      <c r="C20" s="9">
        <v>5</v>
      </c>
      <c r="D20" s="7">
        <v>4</v>
      </c>
      <c r="E20" s="7">
        <v>1</v>
      </c>
      <c r="F20" s="7">
        <v>0</v>
      </c>
      <c r="G20" s="7">
        <v>0</v>
      </c>
      <c r="H20" s="7">
        <v>0</v>
      </c>
      <c r="I20" s="7">
        <v>0</v>
      </c>
      <c r="J20" s="7">
        <v>1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31">
        <v>1</v>
      </c>
    </row>
    <row r="21" spans="1:20" x14ac:dyDescent="0.2">
      <c r="A21" s="6">
        <v>5</v>
      </c>
      <c r="B21" s="9">
        <v>12</v>
      </c>
      <c r="C21" s="9">
        <v>6</v>
      </c>
      <c r="D21" s="7">
        <v>5</v>
      </c>
      <c r="E21" s="7">
        <v>0</v>
      </c>
      <c r="F21" s="7">
        <v>1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1</v>
      </c>
      <c r="M21" s="7">
        <v>1</v>
      </c>
      <c r="N21" s="7">
        <v>1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31">
        <v>1.9999999999953388</v>
      </c>
    </row>
    <row r="22" spans="1:20" x14ac:dyDescent="0.2">
      <c r="A22" s="6">
        <v>6</v>
      </c>
      <c r="B22" s="9">
        <v>17</v>
      </c>
      <c r="C22" s="9">
        <v>6</v>
      </c>
      <c r="D22" s="7">
        <v>6</v>
      </c>
      <c r="E22" s="7">
        <v>0</v>
      </c>
      <c r="F22" s="7">
        <v>0</v>
      </c>
      <c r="G22" s="7">
        <v>1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1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31">
        <v>0.99999999999766942</v>
      </c>
    </row>
    <row r="23" spans="1:20" x14ac:dyDescent="0.2">
      <c r="A23" s="6">
        <v>7</v>
      </c>
      <c r="B23" s="9">
        <v>4</v>
      </c>
      <c r="C23" s="9">
        <v>8</v>
      </c>
      <c r="D23" s="7">
        <v>7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1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31">
        <v>1</v>
      </c>
    </row>
    <row r="24" spans="1:20" x14ac:dyDescent="0.2">
      <c r="A24" s="6">
        <v>8</v>
      </c>
      <c r="B24" s="9">
        <v>14</v>
      </c>
      <c r="C24" s="9">
        <v>10</v>
      </c>
      <c r="D24" s="7">
        <v>8</v>
      </c>
      <c r="E24" s="7">
        <v>0</v>
      </c>
      <c r="F24" s="7">
        <v>0</v>
      </c>
      <c r="G24" s="7">
        <v>0</v>
      </c>
      <c r="H24" s="7">
        <v>0</v>
      </c>
      <c r="I24" s="7">
        <v>1</v>
      </c>
      <c r="J24" s="7">
        <v>0</v>
      </c>
      <c r="K24" s="7">
        <v>0</v>
      </c>
      <c r="L24" s="7">
        <v>1</v>
      </c>
      <c r="M24" s="7">
        <v>0</v>
      </c>
      <c r="N24" s="7">
        <v>1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31">
        <v>0.99999999999533884</v>
      </c>
    </row>
    <row r="25" spans="1:20" x14ac:dyDescent="0.2">
      <c r="A25" s="6">
        <v>9</v>
      </c>
      <c r="B25" s="9">
        <v>10</v>
      </c>
      <c r="C25" s="9">
        <v>12</v>
      </c>
      <c r="D25" s="7">
        <v>9</v>
      </c>
      <c r="E25" s="7">
        <v>0</v>
      </c>
      <c r="F25" s="7">
        <v>0</v>
      </c>
      <c r="G25" s="7">
        <v>0</v>
      </c>
      <c r="H25" s="7">
        <v>1</v>
      </c>
      <c r="I25" s="7">
        <v>0</v>
      </c>
      <c r="J25" s="7">
        <v>0</v>
      </c>
      <c r="K25" s="7">
        <v>0</v>
      </c>
      <c r="L25" s="7">
        <v>1</v>
      </c>
      <c r="M25" s="7">
        <v>0</v>
      </c>
      <c r="N25" s="7">
        <v>0</v>
      </c>
      <c r="O25" s="7">
        <v>0</v>
      </c>
      <c r="P25" s="7">
        <v>1</v>
      </c>
      <c r="Q25" s="7">
        <v>0</v>
      </c>
      <c r="R25" s="7">
        <v>0</v>
      </c>
      <c r="S25" s="7">
        <v>0</v>
      </c>
      <c r="T25" s="31">
        <v>0.99999999999533884</v>
      </c>
    </row>
    <row r="26" spans="1:20" x14ac:dyDescent="0.2">
      <c r="A26" s="6">
        <v>10</v>
      </c>
      <c r="B26" s="9">
        <v>4</v>
      </c>
      <c r="C26" s="9">
        <v>13</v>
      </c>
      <c r="D26" s="7">
        <v>10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1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1</v>
      </c>
      <c r="R26" s="7">
        <v>0</v>
      </c>
      <c r="S26" s="7">
        <v>0</v>
      </c>
      <c r="T26" s="31">
        <v>1</v>
      </c>
    </row>
    <row r="27" spans="1:20" x14ac:dyDescent="0.2">
      <c r="A27" s="6">
        <v>11</v>
      </c>
      <c r="B27" s="9">
        <v>9</v>
      </c>
      <c r="C27" s="9">
        <v>14</v>
      </c>
      <c r="D27" s="7">
        <v>11</v>
      </c>
      <c r="E27" s="7">
        <v>0</v>
      </c>
      <c r="F27" s="7">
        <v>0</v>
      </c>
      <c r="G27" s="7">
        <v>0</v>
      </c>
      <c r="H27" s="7">
        <v>1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1</v>
      </c>
      <c r="Q27" s="7">
        <v>1</v>
      </c>
      <c r="R27" s="7">
        <v>1</v>
      </c>
      <c r="S27" s="7">
        <v>1</v>
      </c>
      <c r="T27" s="31">
        <v>0.99999999999533884</v>
      </c>
    </row>
    <row r="28" spans="1:20" x14ac:dyDescent="0.2">
      <c r="A28" s="6">
        <v>12</v>
      </c>
      <c r="B28" s="9">
        <v>14</v>
      </c>
      <c r="C28" s="9">
        <v>14</v>
      </c>
      <c r="D28" s="7">
        <v>12</v>
      </c>
      <c r="E28" s="7">
        <v>0</v>
      </c>
      <c r="F28" s="7">
        <v>0</v>
      </c>
      <c r="G28" s="7">
        <v>0</v>
      </c>
      <c r="H28" s="7">
        <v>0</v>
      </c>
      <c r="I28" s="7">
        <v>1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1</v>
      </c>
      <c r="P28" s="7">
        <v>0</v>
      </c>
      <c r="Q28" s="7">
        <v>0</v>
      </c>
      <c r="R28" s="7">
        <v>0</v>
      </c>
      <c r="S28" s="7">
        <v>1</v>
      </c>
      <c r="T28" s="31">
        <v>1</v>
      </c>
    </row>
    <row r="29" spans="1:20" x14ac:dyDescent="0.2">
      <c r="A29" s="6">
        <v>13</v>
      </c>
      <c r="B29" s="9">
        <v>10</v>
      </c>
      <c r="C29" s="9">
        <v>15</v>
      </c>
      <c r="D29" s="7">
        <v>13</v>
      </c>
      <c r="E29" s="7">
        <v>0</v>
      </c>
      <c r="F29" s="7">
        <v>0</v>
      </c>
      <c r="G29" s="7">
        <v>0</v>
      </c>
      <c r="H29" s="7">
        <v>1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1</v>
      </c>
      <c r="Q29" s="7">
        <v>0</v>
      </c>
      <c r="R29" s="7">
        <v>1</v>
      </c>
      <c r="S29" s="7">
        <v>1</v>
      </c>
      <c r="T29" s="31">
        <v>0.99999999999533884</v>
      </c>
    </row>
    <row r="30" spans="1:20" x14ac:dyDescent="0.2">
      <c r="A30" s="6">
        <v>14</v>
      </c>
      <c r="B30" s="9">
        <v>17</v>
      </c>
      <c r="C30" s="9">
        <v>18</v>
      </c>
      <c r="D30" s="7">
        <v>14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1</v>
      </c>
      <c r="P30" s="7">
        <v>0</v>
      </c>
      <c r="Q30" s="7">
        <v>0</v>
      </c>
      <c r="R30" s="7">
        <v>0</v>
      </c>
      <c r="S30" s="7">
        <v>0</v>
      </c>
      <c r="T30" s="31">
        <v>1</v>
      </c>
    </row>
    <row r="31" spans="1:20" x14ac:dyDescent="0.2">
      <c r="A31" s="6">
        <v>15</v>
      </c>
      <c r="B31" s="9">
        <v>11</v>
      </c>
      <c r="C31" s="9">
        <v>18</v>
      </c>
      <c r="D31" s="7">
        <v>15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1</v>
      </c>
      <c r="P31" s="7">
        <v>1</v>
      </c>
      <c r="Q31" s="7">
        <v>0</v>
      </c>
      <c r="R31" s="7">
        <v>1</v>
      </c>
      <c r="S31" s="7">
        <v>1</v>
      </c>
      <c r="T31" s="31">
        <v>1.9999999999953388</v>
      </c>
    </row>
    <row r="32" spans="1:20" x14ac:dyDescent="0.2">
      <c r="A32" s="5">
        <v>16</v>
      </c>
      <c r="B32" s="10">
        <v>4</v>
      </c>
      <c r="C32" s="10">
        <v>4</v>
      </c>
      <c r="D32" s="7">
        <v>16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1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31">
        <v>1</v>
      </c>
    </row>
    <row r="33" spans="1:20" x14ac:dyDescent="0.2">
      <c r="A33" s="5">
        <v>17</v>
      </c>
      <c r="B33" s="10">
        <v>6</v>
      </c>
      <c r="C33" s="10">
        <v>2</v>
      </c>
      <c r="D33" s="7">
        <v>17</v>
      </c>
      <c r="E33" s="7">
        <v>1</v>
      </c>
      <c r="F33" s="7">
        <v>0</v>
      </c>
      <c r="G33" s="7">
        <v>0</v>
      </c>
      <c r="H33" s="7">
        <v>0</v>
      </c>
      <c r="I33" s="7">
        <v>0</v>
      </c>
      <c r="J33" s="7">
        <v>1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31">
        <v>1</v>
      </c>
    </row>
    <row r="34" spans="1:20" x14ac:dyDescent="0.2">
      <c r="A34" s="5">
        <v>18</v>
      </c>
      <c r="B34" s="10">
        <v>5</v>
      </c>
      <c r="C34" s="10">
        <v>4</v>
      </c>
      <c r="D34" s="7">
        <v>18</v>
      </c>
      <c r="E34" s="7">
        <v>1</v>
      </c>
      <c r="F34" s="7">
        <v>0</v>
      </c>
      <c r="G34" s="7">
        <v>0</v>
      </c>
      <c r="H34" s="7">
        <v>0</v>
      </c>
      <c r="I34" s="7">
        <v>0</v>
      </c>
      <c r="J34" s="7">
        <v>1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31">
        <v>1</v>
      </c>
    </row>
    <row r="35" spans="1:20" x14ac:dyDescent="0.2">
      <c r="A35" s="5">
        <v>19</v>
      </c>
      <c r="B35" s="10">
        <v>7</v>
      </c>
      <c r="C35" s="10">
        <v>3</v>
      </c>
      <c r="D35" s="7">
        <v>19</v>
      </c>
      <c r="E35" s="7">
        <v>1</v>
      </c>
      <c r="F35" s="7">
        <v>0</v>
      </c>
      <c r="G35" s="7">
        <v>0</v>
      </c>
      <c r="H35" s="7">
        <v>0</v>
      </c>
      <c r="I35" s="7">
        <v>0</v>
      </c>
      <c r="J35" s="7">
        <v>1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31">
        <v>1</v>
      </c>
    </row>
    <row r="36" spans="1:20" x14ac:dyDescent="0.2">
      <c r="A36" s="5">
        <v>20</v>
      </c>
      <c r="B36" s="10">
        <v>10</v>
      </c>
      <c r="C36" s="10">
        <v>3</v>
      </c>
      <c r="D36" s="7">
        <v>20</v>
      </c>
      <c r="E36" s="7">
        <v>1</v>
      </c>
      <c r="F36" s="7">
        <v>1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1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31">
        <v>1</v>
      </c>
    </row>
    <row r="37" spans="1:20" x14ac:dyDescent="0.2">
      <c r="A37" s="5">
        <v>21</v>
      </c>
      <c r="B37" s="10">
        <v>12</v>
      </c>
      <c r="C37" s="10">
        <v>2</v>
      </c>
      <c r="D37" s="7">
        <v>21</v>
      </c>
      <c r="E37" s="7">
        <v>0</v>
      </c>
      <c r="F37" s="7">
        <v>1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1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31">
        <v>1</v>
      </c>
    </row>
    <row r="38" spans="1:20" x14ac:dyDescent="0.2">
      <c r="A38" s="5">
        <v>22</v>
      </c>
      <c r="B38" s="10">
        <v>14</v>
      </c>
      <c r="C38" s="10">
        <v>3</v>
      </c>
      <c r="D38" s="7">
        <v>22</v>
      </c>
      <c r="E38" s="7">
        <v>0</v>
      </c>
      <c r="F38" s="7">
        <v>1</v>
      </c>
      <c r="G38" s="7">
        <v>0</v>
      </c>
      <c r="H38" s="7">
        <v>0</v>
      </c>
      <c r="I38" s="7">
        <v>0</v>
      </c>
      <c r="J38" s="7">
        <v>0</v>
      </c>
      <c r="K38" s="7">
        <v>0</v>
      </c>
      <c r="L38" s="7">
        <v>0</v>
      </c>
      <c r="M38" s="7">
        <v>1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31">
        <v>1</v>
      </c>
    </row>
    <row r="39" spans="1:20" x14ac:dyDescent="0.2">
      <c r="A39" s="5">
        <v>23</v>
      </c>
      <c r="B39" s="10">
        <v>15</v>
      </c>
      <c r="C39" s="10">
        <v>4</v>
      </c>
      <c r="D39" s="7">
        <v>23</v>
      </c>
      <c r="E39" s="7">
        <v>0</v>
      </c>
      <c r="F39" s="7">
        <v>1</v>
      </c>
      <c r="G39" s="7">
        <v>1</v>
      </c>
      <c r="H39" s="7">
        <v>0</v>
      </c>
      <c r="I39" s="7">
        <v>0</v>
      </c>
      <c r="J39" s="7">
        <v>0</v>
      </c>
      <c r="K39" s="7">
        <v>0</v>
      </c>
      <c r="L39" s="7">
        <v>0</v>
      </c>
      <c r="M39" s="7">
        <v>1</v>
      </c>
      <c r="N39" s="7">
        <v>1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31">
        <v>1.9999999999976694</v>
      </c>
    </row>
    <row r="40" spans="1:20" x14ac:dyDescent="0.2">
      <c r="A40" s="5">
        <v>24</v>
      </c>
      <c r="B40" s="10">
        <v>17</v>
      </c>
      <c r="C40" s="10">
        <v>4</v>
      </c>
      <c r="D40" s="7">
        <v>24</v>
      </c>
      <c r="E40" s="7">
        <v>0</v>
      </c>
      <c r="F40" s="7">
        <v>0</v>
      </c>
      <c r="G40" s="7">
        <v>1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1</v>
      </c>
      <c r="N40" s="7">
        <v>1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31">
        <v>1.9999999999976694</v>
      </c>
    </row>
    <row r="41" spans="1:20" x14ac:dyDescent="0.2">
      <c r="A41" s="5">
        <v>25</v>
      </c>
      <c r="B41" s="10">
        <v>16</v>
      </c>
      <c r="C41" s="10">
        <v>5</v>
      </c>
      <c r="D41" s="7">
        <v>25</v>
      </c>
      <c r="E41" s="7">
        <v>0</v>
      </c>
      <c r="F41" s="7">
        <v>0</v>
      </c>
      <c r="G41" s="7">
        <v>1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1</v>
      </c>
      <c r="N41" s="7">
        <v>1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31">
        <v>1.9999999999976694</v>
      </c>
    </row>
    <row r="42" spans="1:20" x14ac:dyDescent="0.2">
      <c r="A42" s="6">
        <v>26</v>
      </c>
      <c r="B42" s="9">
        <v>15</v>
      </c>
      <c r="C42" s="9">
        <v>6</v>
      </c>
      <c r="D42" s="7">
        <v>26</v>
      </c>
      <c r="E42" s="7">
        <v>0</v>
      </c>
      <c r="F42" s="7">
        <v>1</v>
      </c>
      <c r="G42" s="7">
        <v>1</v>
      </c>
      <c r="H42" s="7">
        <v>0</v>
      </c>
      <c r="I42" s="7">
        <v>0</v>
      </c>
      <c r="J42" s="7">
        <v>0</v>
      </c>
      <c r="K42" s="7">
        <v>0</v>
      </c>
      <c r="L42" s="7">
        <v>0</v>
      </c>
      <c r="M42" s="7">
        <v>1</v>
      </c>
      <c r="N42" s="7">
        <v>1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31">
        <v>1.9999999999976694</v>
      </c>
    </row>
    <row r="43" spans="1:20" x14ac:dyDescent="0.2">
      <c r="A43" s="6">
        <v>27</v>
      </c>
      <c r="B43" s="9">
        <v>15</v>
      </c>
      <c r="C43" s="9">
        <v>7</v>
      </c>
      <c r="D43" s="7">
        <v>27</v>
      </c>
      <c r="E43" s="7">
        <v>0</v>
      </c>
      <c r="F43" s="7">
        <v>1</v>
      </c>
      <c r="G43" s="7">
        <v>1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1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31">
        <v>0.99999999999766942</v>
      </c>
    </row>
    <row r="44" spans="1:20" x14ac:dyDescent="0.2">
      <c r="A44" s="6">
        <v>28</v>
      </c>
      <c r="B44" s="9">
        <v>13</v>
      </c>
      <c r="C44" s="9">
        <v>8</v>
      </c>
      <c r="D44" s="7">
        <v>28</v>
      </c>
      <c r="E44" s="7">
        <v>0</v>
      </c>
      <c r="F44" s="7">
        <v>1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1</v>
      </c>
      <c r="M44" s="7">
        <v>0</v>
      </c>
      <c r="N44" s="7">
        <v>1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31">
        <v>0.99999999999533884</v>
      </c>
    </row>
    <row r="45" spans="1:20" x14ac:dyDescent="0.2">
      <c r="A45" s="6">
        <v>29</v>
      </c>
      <c r="B45" s="9">
        <v>7</v>
      </c>
      <c r="C45" s="9">
        <v>6</v>
      </c>
      <c r="D45" s="7">
        <v>29</v>
      </c>
      <c r="E45" s="7">
        <v>1</v>
      </c>
      <c r="F45" s="7">
        <v>0</v>
      </c>
      <c r="G45" s="7">
        <v>0</v>
      </c>
      <c r="H45" s="7">
        <v>0</v>
      </c>
      <c r="I45" s="7">
        <v>0</v>
      </c>
      <c r="J45" s="7">
        <v>1</v>
      </c>
      <c r="K45" s="7">
        <v>0</v>
      </c>
      <c r="L45" s="7">
        <v>0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31">
        <v>1</v>
      </c>
    </row>
    <row r="46" spans="1:20" x14ac:dyDescent="0.2">
      <c r="A46" s="6">
        <v>30</v>
      </c>
      <c r="B46" s="9">
        <v>5</v>
      </c>
      <c r="C46" s="9">
        <v>6</v>
      </c>
      <c r="D46" s="7">
        <v>30</v>
      </c>
      <c r="E46" s="7">
        <v>1</v>
      </c>
      <c r="F46" s="7">
        <v>0</v>
      </c>
      <c r="G46" s="7">
        <v>0</v>
      </c>
      <c r="H46" s="7">
        <v>0</v>
      </c>
      <c r="I46" s="7">
        <v>0</v>
      </c>
      <c r="J46" s="7">
        <v>1</v>
      </c>
      <c r="K46" s="7">
        <v>0</v>
      </c>
      <c r="L46" s="7">
        <v>0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31">
        <v>1</v>
      </c>
    </row>
    <row r="47" spans="1:20" x14ac:dyDescent="0.2">
      <c r="A47" s="6">
        <v>31</v>
      </c>
      <c r="B47" s="9">
        <v>10</v>
      </c>
      <c r="C47" s="9">
        <v>6</v>
      </c>
      <c r="D47" s="7">
        <v>31</v>
      </c>
      <c r="E47" s="7">
        <v>1</v>
      </c>
      <c r="F47" s="7">
        <v>1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1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31">
        <v>0.99999999999533884</v>
      </c>
    </row>
    <row r="48" spans="1:20" x14ac:dyDescent="0.2">
      <c r="A48" s="6">
        <v>32</v>
      </c>
      <c r="B48" s="9">
        <v>8</v>
      </c>
      <c r="C48" s="9">
        <v>8</v>
      </c>
      <c r="D48" s="7">
        <v>32</v>
      </c>
      <c r="E48" s="7">
        <v>1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1</v>
      </c>
      <c r="L48" s="7">
        <v>1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31">
        <v>1.9999999999953388</v>
      </c>
    </row>
    <row r="49" spans="1:20" x14ac:dyDescent="0.2">
      <c r="A49" s="6">
        <v>33</v>
      </c>
      <c r="B49" s="9">
        <v>8</v>
      </c>
      <c r="C49" s="9">
        <v>9</v>
      </c>
      <c r="D49" s="7">
        <v>33</v>
      </c>
      <c r="E49" s="7">
        <v>1</v>
      </c>
      <c r="F49" s="7">
        <v>0</v>
      </c>
      <c r="G49" s="7">
        <v>0</v>
      </c>
      <c r="H49" s="7">
        <v>1</v>
      </c>
      <c r="I49" s="7">
        <v>0</v>
      </c>
      <c r="J49" s="7">
        <v>0</v>
      </c>
      <c r="K49" s="7">
        <v>1</v>
      </c>
      <c r="L49" s="7">
        <v>1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31">
        <v>1.9999999999953388</v>
      </c>
    </row>
    <row r="50" spans="1:20" x14ac:dyDescent="0.2">
      <c r="A50" s="6">
        <v>34</v>
      </c>
      <c r="B50" s="9">
        <v>11</v>
      </c>
      <c r="C50" s="9">
        <v>9</v>
      </c>
      <c r="D50" s="7">
        <v>34</v>
      </c>
      <c r="E50" s="7">
        <v>0</v>
      </c>
      <c r="F50" s="7">
        <v>1</v>
      </c>
      <c r="G50" s="7">
        <v>0</v>
      </c>
      <c r="H50" s="7">
        <v>1</v>
      </c>
      <c r="I50" s="7">
        <v>0</v>
      </c>
      <c r="J50" s="7">
        <v>0</v>
      </c>
      <c r="K50" s="7">
        <v>0</v>
      </c>
      <c r="L50" s="7">
        <v>1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31">
        <v>0.99999999999533884</v>
      </c>
    </row>
    <row r="51" spans="1:20" x14ac:dyDescent="0.2">
      <c r="A51" s="6">
        <v>35</v>
      </c>
      <c r="B51" s="9">
        <v>10</v>
      </c>
      <c r="C51" s="9">
        <v>10</v>
      </c>
      <c r="D51" s="7">
        <v>35</v>
      </c>
      <c r="E51" s="7">
        <v>0</v>
      </c>
      <c r="F51" s="7">
        <v>0</v>
      </c>
      <c r="G51" s="7">
        <v>0</v>
      </c>
      <c r="H51" s="7">
        <v>1</v>
      </c>
      <c r="I51" s="7">
        <v>0</v>
      </c>
      <c r="J51" s="7">
        <v>0</v>
      </c>
      <c r="K51" s="7">
        <v>1</v>
      </c>
      <c r="L51" s="7">
        <v>1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31">
        <v>1.9999999999953388</v>
      </c>
    </row>
    <row r="52" spans="1:20" x14ac:dyDescent="0.2">
      <c r="A52" s="6">
        <v>36</v>
      </c>
      <c r="B52" s="9">
        <v>10</v>
      </c>
      <c r="C52" s="9">
        <v>12</v>
      </c>
      <c r="D52" s="7">
        <v>36</v>
      </c>
      <c r="E52" s="7">
        <v>0</v>
      </c>
      <c r="F52" s="7">
        <v>0</v>
      </c>
      <c r="G52" s="7">
        <v>0</v>
      </c>
      <c r="H52" s="7">
        <v>1</v>
      </c>
      <c r="I52" s="7">
        <v>0</v>
      </c>
      <c r="J52" s="7">
        <v>0</v>
      </c>
      <c r="K52" s="7">
        <v>0</v>
      </c>
      <c r="L52" s="7">
        <v>1</v>
      </c>
      <c r="M52" s="7">
        <v>0</v>
      </c>
      <c r="N52" s="7">
        <v>0</v>
      </c>
      <c r="O52" s="7">
        <v>0</v>
      </c>
      <c r="P52" s="7">
        <v>1</v>
      </c>
      <c r="Q52" s="7">
        <v>0</v>
      </c>
      <c r="R52" s="7">
        <v>0</v>
      </c>
      <c r="S52" s="7">
        <v>0</v>
      </c>
      <c r="T52" s="31">
        <v>0.99999999999533884</v>
      </c>
    </row>
    <row r="53" spans="1:20" x14ac:dyDescent="0.2">
      <c r="A53" s="6">
        <v>37</v>
      </c>
      <c r="B53" s="9">
        <v>13</v>
      </c>
      <c r="C53" s="9">
        <v>10</v>
      </c>
      <c r="D53" s="7">
        <v>37</v>
      </c>
      <c r="E53" s="7">
        <v>0</v>
      </c>
      <c r="F53" s="7">
        <v>0</v>
      </c>
      <c r="G53" s="7">
        <v>0</v>
      </c>
      <c r="H53" s="7">
        <v>1</v>
      </c>
      <c r="I53" s="7">
        <v>0</v>
      </c>
      <c r="J53" s="7">
        <v>0</v>
      </c>
      <c r="K53" s="7">
        <v>0</v>
      </c>
      <c r="L53" s="7">
        <v>1</v>
      </c>
      <c r="M53" s="7">
        <v>0</v>
      </c>
      <c r="N53" s="7">
        <v>1</v>
      </c>
      <c r="O53" s="7">
        <v>0</v>
      </c>
      <c r="P53" s="7">
        <v>0</v>
      </c>
      <c r="Q53" s="7">
        <v>0</v>
      </c>
      <c r="R53" s="7">
        <v>0</v>
      </c>
      <c r="S53" s="7">
        <v>0</v>
      </c>
      <c r="T53" s="31">
        <v>0.99999999999533884</v>
      </c>
    </row>
    <row r="54" spans="1:20" x14ac:dyDescent="0.2">
      <c r="A54" s="6">
        <v>38</v>
      </c>
      <c r="B54" s="9">
        <v>6</v>
      </c>
      <c r="C54" s="9">
        <v>13</v>
      </c>
      <c r="D54" s="7">
        <v>38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1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1</v>
      </c>
      <c r="R54" s="7">
        <v>1</v>
      </c>
      <c r="S54" s="7">
        <v>0</v>
      </c>
      <c r="T54" s="31">
        <v>1.9999999999953388</v>
      </c>
    </row>
    <row r="55" spans="1:20" x14ac:dyDescent="0.2">
      <c r="A55" s="6">
        <v>39</v>
      </c>
      <c r="B55" s="9">
        <v>6</v>
      </c>
      <c r="C55" s="9">
        <v>15</v>
      </c>
      <c r="D55" s="7">
        <v>39</v>
      </c>
      <c r="E55" s="7">
        <v>0</v>
      </c>
      <c r="F55" s="7">
        <v>0</v>
      </c>
      <c r="G55" s="7">
        <v>0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  <c r="N55" s="7">
        <v>0</v>
      </c>
      <c r="O55" s="7">
        <v>0</v>
      </c>
      <c r="P55" s="7">
        <v>1</v>
      </c>
      <c r="Q55" s="7">
        <v>1</v>
      </c>
      <c r="R55" s="7">
        <v>1</v>
      </c>
      <c r="S55" s="7">
        <v>0</v>
      </c>
      <c r="T55" s="31">
        <v>0.99999999999533884</v>
      </c>
    </row>
    <row r="56" spans="1:20" x14ac:dyDescent="0.2">
      <c r="A56" s="6">
        <v>40</v>
      </c>
      <c r="B56" s="9">
        <v>5</v>
      </c>
      <c r="C56" s="9">
        <v>14</v>
      </c>
      <c r="D56" s="7">
        <v>40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1</v>
      </c>
      <c r="R56" s="7">
        <v>1</v>
      </c>
      <c r="S56" s="7">
        <v>0</v>
      </c>
      <c r="T56" s="31">
        <v>0.99999999999533884</v>
      </c>
    </row>
    <row r="57" spans="1:20" x14ac:dyDescent="0.2">
      <c r="A57" s="5">
        <v>41</v>
      </c>
      <c r="B57" s="10">
        <v>8</v>
      </c>
      <c r="C57" s="10">
        <v>16</v>
      </c>
      <c r="D57" s="7">
        <v>41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1</v>
      </c>
      <c r="Q57" s="7">
        <v>1</v>
      </c>
      <c r="R57" s="7">
        <v>1</v>
      </c>
      <c r="S57" s="7">
        <v>1</v>
      </c>
      <c r="T57" s="31">
        <v>0.99999999999533884</v>
      </c>
    </row>
    <row r="58" spans="1:20" x14ac:dyDescent="0.2">
      <c r="A58" s="5">
        <v>42</v>
      </c>
      <c r="B58" s="10">
        <v>8</v>
      </c>
      <c r="C58" s="10">
        <v>17</v>
      </c>
      <c r="D58" s="7">
        <v>42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0</v>
      </c>
      <c r="M58" s="7">
        <v>0</v>
      </c>
      <c r="N58" s="7">
        <v>0</v>
      </c>
      <c r="O58" s="7">
        <v>0</v>
      </c>
      <c r="P58" s="7">
        <v>1</v>
      </c>
      <c r="Q58" s="7">
        <v>0</v>
      </c>
      <c r="R58" s="7">
        <v>1</v>
      </c>
      <c r="S58" s="7">
        <v>1</v>
      </c>
      <c r="T58" s="31">
        <v>0.99999999999533884</v>
      </c>
    </row>
    <row r="59" spans="1:20" x14ac:dyDescent="0.2">
      <c r="A59" s="5">
        <v>43</v>
      </c>
      <c r="B59" s="10">
        <v>11</v>
      </c>
      <c r="C59" s="10">
        <v>18</v>
      </c>
      <c r="D59" s="7">
        <v>43</v>
      </c>
      <c r="E59" s="7">
        <v>0</v>
      </c>
      <c r="F59" s="7">
        <v>0</v>
      </c>
      <c r="G59" s="7">
        <v>0</v>
      </c>
      <c r="H59" s="7">
        <v>0</v>
      </c>
      <c r="I59" s="7">
        <v>0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7">
        <v>1</v>
      </c>
      <c r="P59" s="7">
        <v>1</v>
      </c>
      <c r="Q59" s="7">
        <v>0</v>
      </c>
      <c r="R59" s="7">
        <v>1</v>
      </c>
      <c r="S59" s="7">
        <v>1</v>
      </c>
      <c r="T59" s="31">
        <v>1.9999999999953388</v>
      </c>
    </row>
    <row r="60" spans="1:20" x14ac:dyDescent="0.2">
      <c r="A60" s="5">
        <v>44</v>
      </c>
      <c r="B60" s="10">
        <v>11</v>
      </c>
      <c r="C60" s="10">
        <v>16</v>
      </c>
      <c r="D60" s="7">
        <v>44</v>
      </c>
      <c r="E60" s="7">
        <v>0</v>
      </c>
      <c r="F60" s="7">
        <v>0</v>
      </c>
      <c r="G60" s="7">
        <v>0</v>
      </c>
      <c r="H60" s="7">
        <v>0</v>
      </c>
      <c r="I60" s="7">
        <v>1</v>
      </c>
      <c r="J60" s="7">
        <v>0</v>
      </c>
      <c r="K60" s="7">
        <v>0</v>
      </c>
      <c r="L60" s="7">
        <v>0</v>
      </c>
      <c r="M60" s="7">
        <v>0</v>
      </c>
      <c r="N60" s="7">
        <v>0</v>
      </c>
      <c r="O60" s="7">
        <v>1</v>
      </c>
      <c r="P60" s="7">
        <v>1</v>
      </c>
      <c r="Q60" s="7">
        <v>0</v>
      </c>
      <c r="R60" s="7">
        <v>1</v>
      </c>
      <c r="S60" s="7">
        <v>1</v>
      </c>
      <c r="T60" s="31">
        <v>1.9999999999953388</v>
      </c>
    </row>
    <row r="61" spans="1:20" x14ac:dyDescent="0.2">
      <c r="A61" s="5">
        <v>45</v>
      </c>
      <c r="B61" s="10">
        <v>12</v>
      </c>
      <c r="C61" s="10">
        <v>13</v>
      </c>
      <c r="D61" s="7">
        <v>45</v>
      </c>
      <c r="E61" s="7">
        <v>0</v>
      </c>
      <c r="F61" s="7">
        <v>0</v>
      </c>
      <c r="G61" s="7">
        <v>0</v>
      </c>
      <c r="H61" s="7">
        <v>1</v>
      </c>
      <c r="I61" s="7">
        <v>1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1</v>
      </c>
      <c r="P61" s="7">
        <v>1</v>
      </c>
      <c r="Q61" s="7">
        <v>0</v>
      </c>
      <c r="R61" s="7">
        <v>0</v>
      </c>
      <c r="S61" s="7">
        <v>1</v>
      </c>
      <c r="T61" s="31">
        <v>1</v>
      </c>
    </row>
    <row r="62" spans="1:20" x14ac:dyDescent="0.2">
      <c r="A62" s="5">
        <v>46</v>
      </c>
      <c r="B62" s="10">
        <v>16</v>
      </c>
      <c r="C62" s="10">
        <v>16</v>
      </c>
      <c r="D62" s="7">
        <v>46</v>
      </c>
      <c r="E62" s="7">
        <v>0</v>
      </c>
      <c r="F62" s="7">
        <v>0</v>
      </c>
      <c r="G62" s="7">
        <v>0</v>
      </c>
      <c r="H62" s="7">
        <v>0</v>
      </c>
      <c r="I62" s="7">
        <v>1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1</v>
      </c>
      <c r="P62" s="7">
        <v>0</v>
      </c>
      <c r="Q62" s="7">
        <v>0</v>
      </c>
      <c r="R62" s="7">
        <v>0</v>
      </c>
      <c r="S62" s="7">
        <v>0</v>
      </c>
      <c r="T62" s="31">
        <v>1</v>
      </c>
    </row>
    <row r="63" spans="1:20" x14ac:dyDescent="0.2">
      <c r="A63" s="5">
        <v>47</v>
      </c>
      <c r="B63" s="10">
        <v>14</v>
      </c>
      <c r="C63" s="10">
        <v>16</v>
      </c>
      <c r="D63" s="7">
        <v>47</v>
      </c>
      <c r="E63" s="7">
        <v>0</v>
      </c>
      <c r="F63" s="7">
        <v>0</v>
      </c>
      <c r="G63" s="7">
        <v>0</v>
      </c>
      <c r="H63" s="7">
        <v>0</v>
      </c>
      <c r="I63" s="7">
        <v>1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1</v>
      </c>
      <c r="P63" s="7">
        <v>0</v>
      </c>
      <c r="Q63" s="7">
        <v>0</v>
      </c>
      <c r="R63" s="7">
        <v>0</v>
      </c>
      <c r="S63" s="7">
        <v>1</v>
      </c>
      <c r="T63" s="31">
        <v>1</v>
      </c>
    </row>
    <row r="64" spans="1:20" x14ac:dyDescent="0.2">
      <c r="A64" s="5">
        <v>48</v>
      </c>
      <c r="B64" s="10">
        <v>14</v>
      </c>
      <c r="C64" s="10">
        <v>18</v>
      </c>
      <c r="D64" s="7">
        <v>48</v>
      </c>
      <c r="E64" s="7">
        <v>0</v>
      </c>
      <c r="F64" s="7">
        <v>0</v>
      </c>
      <c r="G64" s="7">
        <v>0</v>
      </c>
      <c r="H64" s="7">
        <v>0</v>
      </c>
      <c r="I64" s="7">
        <v>1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1</v>
      </c>
      <c r="P64" s="7">
        <v>0</v>
      </c>
      <c r="Q64" s="7">
        <v>0</v>
      </c>
      <c r="R64" s="7">
        <v>0</v>
      </c>
      <c r="S64" s="7">
        <v>1</v>
      </c>
      <c r="T64" s="31">
        <v>1</v>
      </c>
    </row>
    <row r="65" spans="1:22" x14ac:dyDescent="0.2">
      <c r="A65" s="5">
        <v>49</v>
      </c>
      <c r="B65" s="10">
        <v>10</v>
      </c>
      <c r="C65" s="10">
        <v>8</v>
      </c>
      <c r="D65" s="7">
        <v>49</v>
      </c>
      <c r="E65" s="7">
        <v>1</v>
      </c>
      <c r="F65" s="7">
        <v>1</v>
      </c>
      <c r="G65" s="7">
        <v>0</v>
      </c>
      <c r="H65" s="7">
        <v>1</v>
      </c>
      <c r="I65" s="7">
        <v>0</v>
      </c>
      <c r="J65" s="7">
        <v>0</v>
      </c>
      <c r="K65" s="7">
        <v>0</v>
      </c>
      <c r="L65" s="7">
        <v>1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31">
        <v>0.99999999999533884</v>
      </c>
    </row>
    <row r="66" spans="1:22" x14ac:dyDescent="0.2">
      <c r="A66" s="5">
        <v>50</v>
      </c>
      <c r="B66" s="10">
        <v>6</v>
      </c>
      <c r="C66" s="10">
        <v>10</v>
      </c>
      <c r="D66" s="7">
        <v>50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1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1</v>
      </c>
      <c r="R66" s="7">
        <v>0</v>
      </c>
      <c r="S66" s="7">
        <v>0</v>
      </c>
      <c r="T66" s="32">
        <v>1</v>
      </c>
    </row>
    <row r="70" spans="1:22" x14ac:dyDescent="0.2"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21"/>
      <c r="U70" s="21"/>
      <c r="V70" s="21"/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7:N8"/>
  <sheetViews>
    <sheetView workbookViewId="0">
      <selection activeCell="F16" sqref="F16"/>
    </sheetView>
  </sheetViews>
  <sheetFormatPr defaultRowHeight="12.75" x14ac:dyDescent="0.2"/>
  <cols>
    <col min="3" max="3" width="11" bestFit="1" customWidth="1"/>
  </cols>
  <sheetData>
    <row r="7" spans="3:14" x14ac:dyDescent="0.2">
      <c r="E7">
        <v>1</v>
      </c>
      <c r="F7">
        <v>2</v>
      </c>
      <c r="G7">
        <v>3</v>
      </c>
      <c r="H7">
        <v>4</v>
      </c>
      <c r="I7">
        <v>5</v>
      </c>
      <c r="J7">
        <v>6</v>
      </c>
      <c r="K7">
        <v>7</v>
      </c>
      <c r="L7">
        <v>8</v>
      </c>
      <c r="M7">
        <v>9</v>
      </c>
      <c r="N7">
        <v>10</v>
      </c>
    </row>
    <row r="8" spans="3:14" x14ac:dyDescent="0.2">
      <c r="C8" s="68" t="s">
        <v>31</v>
      </c>
      <c r="E8">
        <f>VALUE(MID($C$8,E7,1))</f>
        <v>1</v>
      </c>
      <c r="F8">
        <f t="shared" ref="F8:N8" si="0">VALUE(MID($C$8,F7,1))</f>
        <v>1</v>
      </c>
      <c r="G8">
        <f t="shared" si="0"/>
        <v>0</v>
      </c>
      <c r="H8">
        <f t="shared" si="0"/>
        <v>1</v>
      </c>
      <c r="I8">
        <f t="shared" si="0"/>
        <v>1</v>
      </c>
      <c r="J8">
        <f t="shared" si="0"/>
        <v>1</v>
      </c>
      <c r="K8">
        <f t="shared" si="0"/>
        <v>1</v>
      </c>
      <c r="L8">
        <f t="shared" si="0"/>
        <v>1</v>
      </c>
      <c r="M8">
        <f t="shared" si="0"/>
        <v>0</v>
      </c>
      <c r="N8">
        <f t="shared" si="0"/>
        <v>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Solution</vt:lpstr>
      <vt:lpstr>Extended</vt:lpstr>
      <vt:lpstr>Sheet3</vt:lpstr>
      <vt:lpstr>Covered</vt:lpstr>
      <vt:lpstr>vtab</vt:lpstr>
    </vt:vector>
  </TitlesOfParts>
  <Company>Indian Institute of Management Ahmedabad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IIM</dc:creator>
  <cp:lastModifiedBy>IIMA</cp:lastModifiedBy>
  <dcterms:created xsi:type="dcterms:W3CDTF">2008-07-14T11:11:10Z</dcterms:created>
  <dcterms:modified xsi:type="dcterms:W3CDTF">2017-07-11T10:36:06Z</dcterms:modified>
</cp:coreProperties>
</file>