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iimA\MComputing\"/>
    </mc:Choice>
  </mc:AlternateContent>
  <bookViews>
    <workbookView xWindow="0" yWindow="0" windowWidth="18270" windowHeight="7900"/>
  </bookViews>
  <sheets>
    <sheet name="Sheet1" sheetId="1" r:id="rId1"/>
    <sheet name="extension" sheetId="2" r:id="rId2"/>
    <sheet name="points" sheetId="3" r:id="rId3"/>
    <sheet name="Multiplication Table" sheetId="4" r:id="rId4"/>
  </sheets>
  <calcPr calcId="152511"/>
</workbook>
</file>

<file path=xl/calcChain.xml><?xml version="1.0" encoding="utf-8"?>
<calcChain xmlns="http://schemas.openxmlformats.org/spreadsheetml/2006/main">
  <c r="F9" i="1" l="1"/>
  <c r="K13" i="4" l="1"/>
  <c r="J13" i="4"/>
  <c r="I13" i="4"/>
  <c r="H13" i="4"/>
  <c r="G13" i="4"/>
  <c r="F13" i="4"/>
  <c r="E13" i="4"/>
  <c r="D13" i="4"/>
  <c r="C13" i="4"/>
  <c r="B13" i="4"/>
  <c r="K12" i="4"/>
  <c r="J12" i="4"/>
  <c r="I12" i="4"/>
  <c r="H12" i="4"/>
  <c r="G12" i="4"/>
  <c r="F12" i="4"/>
  <c r="E12" i="4"/>
  <c r="D12" i="4"/>
  <c r="C12" i="4"/>
  <c r="B12" i="4"/>
  <c r="K11" i="4"/>
  <c r="J11" i="4"/>
  <c r="I11" i="4"/>
  <c r="H11" i="4"/>
  <c r="G11" i="4"/>
  <c r="F11" i="4"/>
  <c r="E11" i="4"/>
  <c r="D11" i="4"/>
  <c r="C11" i="4"/>
  <c r="B11" i="4"/>
  <c r="K10" i="4"/>
  <c r="J10" i="4"/>
  <c r="I10" i="4"/>
  <c r="H10" i="4"/>
  <c r="G10" i="4"/>
  <c r="F10" i="4"/>
  <c r="E10" i="4"/>
  <c r="D10" i="4"/>
  <c r="C10" i="4"/>
  <c r="B10" i="4"/>
  <c r="K9" i="4"/>
  <c r="J9" i="4"/>
  <c r="I9" i="4"/>
  <c r="H9" i="4"/>
  <c r="G9" i="4"/>
  <c r="F9" i="4"/>
  <c r="E9" i="4"/>
  <c r="D9" i="4"/>
  <c r="C9" i="4"/>
  <c r="B9" i="4"/>
  <c r="K8" i="4"/>
  <c r="J8" i="4"/>
  <c r="I8" i="4"/>
  <c r="H8" i="4"/>
  <c r="G8" i="4"/>
  <c r="F8" i="4"/>
  <c r="E8" i="4"/>
  <c r="D8" i="4"/>
  <c r="C8" i="4"/>
  <c r="B8" i="4"/>
  <c r="K7" i="4"/>
  <c r="J7" i="4"/>
  <c r="I7" i="4"/>
  <c r="H7" i="4"/>
  <c r="G7" i="4"/>
  <c r="F7" i="4"/>
  <c r="E7" i="4"/>
  <c r="D7" i="4"/>
  <c r="C7" i="4"/>
  <c r="B7" i="4"/>
  <c r="K6" i="4"/>
  <c r="J6" i="4"/>
  <c r="I6" i="4"/>
  <c r="H6" i="4"/>
  <c r="G6" i="4"/>
  <c r="F6" i="4"/>
  <c r="E6" i="4"/>
  <c r="D6" i="4"/>
  <c r="C6" i="4"/>
  <c r="B6" i="4"/>
  <c r="K5" i="4"/>
  <c r="J5" i="4"/>
  <c r="I5" i="4"/>
  <c r="H5" i="4"/>
  <c r="G5" i="4"/>
  <c r="F5" i="4"/>
  <c r="E5" i="4"/>
  <c r="D5" i="4"/>
  <c r="C5" i="4"/>
  <c r="B5" i="4"/>
  <c r="K4" i="4"/>
  <c r="J4" i="4"/>
  <c r="I4" i="4"/>
  <c r="H4" i="4"/>
  <c r="G4" i="4"/>
  <c r="F4" i="4"/>
  <c r="E4" i="4"/>
  <c r="D4" i="4"/>
  <c r="C4" i="4"/>
  <c r="B4" i="4"/>
  <c r="F14" i="1" l="1"/>
  <c r="F10" i="1"/>
  <c r="F11" i="1"/>
  <c r="F12" i="1"/>
  <c r="G14" i="1"/>
  <c r="G10" i="1"/>
  <c r="G11" i="1"/>
  <c r="G12" i="1"/>
  <c r="G9" i="1"/>
  <c r="G8" i="2"/>
  <c r="F8" i="2"/>
  <c r="F9" i="2"/>
  <c r="G14" i="2"/>
  <c r="F14" i="2"/>
  <c r="G12" i="2"/>
  <c r="F12" i="2"/>
  <c r="G11" i="2"/>
  <c r="F11" i="2"/>
  <c r="G10" i="2"/>
  <c r="F10" i="2"/>
  <c r="G9" i="2"/>
  <c r="F13" i="2" l="1"/>
  <c r="G13" i="2"/>
  <c r="G15" i="2" s="1"/>
  <c r="K7" i="2" s="1"/>
  <c r="F15" i="2"/>
  <c r="J7" i="2" s="1"/>
  <c r="G13" i="1"/>
  <c r="G15" i="1" s="1"/>
  <c r="K7" i="1" s="1"/>
  <c r="F13" i="1"/>
  <c r="F15" i="1" s="1"/>
  <c r="J7" i="1" s="1"/>
  <c r="M7" i="1" l="1"/>
</calcChain>
</file>

<file path=xl/sharedStrings.xml><?xml version="1.0" encoding="utf-8"?>
<sst xmlns="http://schemas.openxmlformats.org/spreadsheetml/2006/main" count="69" uniqueCount="42">
  <si>
    <t>Common Data</t>
  </si>
  <si>
    <t>Plan A</t>
  </si>
  <si>
    <t>Plan B</t>
  </si>
  <si>
    <t>Sales Com</t>
  </si>
  <si>
    <t>Volume-1</t>
  </si>
  <si>
    <t>com-1/unit</t>
  </si>
  <si>
    <t>Volume-2</t>
  </si>
  <si>
    <t>com-2/unit</t>
  </si>
  <si>
    <t>Unit r.m cost</t>
  </si>
  <si>
    <t>Unit util cost</t>
  </si>
  <si>
    <t>Unit price</t>
  </si>
  <si>
    <t>Rent</t>
  </si>
  <si>
    <t>Salaries</t>
  </si>
  <si>
    <t>Advertising</t>
  </si>
  <si>
    <t>Other Fixed Costs</t>
  </si>
  <si>
    <t>No. of Units sold</t>
  </si>
  <si>
    <t>Total fixed Cost</t>
  </si>
  <si>
    <t>Total rm cost</t>
  </si>
  <si>
    <t>Tot util cost</t>
  </si>
  <si>
    <t>tot sales com.</t>
  </si>
  <si>
    <t>total cost</t>
  </si>
  <si>
    <t>total sales rev</t>
  </si>
  <si>
    <t>Net Income</t>
  </si>
  <si>
    <t>Data Table-1</t>
  </si>
  <si>
    <t>Sales Volume vs Net Income</t>
  </si>
  <si>
    <t>c14</t>
  </si>
  <si>
    <t>f15</t>
  </si>
  <si>
    <t>g15</t>
  </si>
  <si>
    <t>Ad exp vs Sales</t>
  </si>
  <si>
    <t>Sales</t>
  </si>
  <si>
    <t>Adv exp</t>
  </si>
  <si>
    <t>Ad cost</t>
  </si>
  <si>
    <t>Data Table-2</t>
  </si>
  <si>
    <t>Sales Volume and Advertising vs Net Income</t>
  </si>
  <si>
    <t>1) One way data table</t>
  </si>
  <si>
    <t>2)2 way data table</t>
  </si>
  <si>
    <t>3) Macros</t>
  </si>
  <si>
    <t>5) graphs for basic and extension</t>
  </si>
  <si>
    <t>ILLUSTRATION of $ usage</t>
  </si>
  <si>
    <t>0) $, SUM, IF</t>
  </si>
  <si>
    <t>6) VLOOKUP</t>
  </si>
  <si>
    <t>4) Goal Seek : If net income should be 45,000, how many units have to be sold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</si>
</sst>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0" borderId="0" xfId="0" applyFill="1"/>
    <xf numFmtId="0" fontId="2" fillId="0" borderId="0" xfId="0" applyFont="1"/>
    <xf numFmtId="0" fontId="3" fillId="3" borderId="0" xfId="0" applyFont="1" applyFill="1"/>
    <xf numFmtId="0" fontId="4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Plan A</c:v>
          </c:tx>
          <c:cat>
            <c:numRef>
              <c:f>Sheet1!$I$8:$I$18</c:f>
              <c:numCache>
                <c:formatCode>General</c:formatCode>
                <c:ptCount val="11"/>
                <c:pt idx="0">
                  <c:v>83000</c:v>
                </c:pt>
                <c:pt idx="1">
                  <c:v>84000</c:v>
                </c:pt>
                <c:pt idx="2">
                  <c:v>85000</c:v>
                </c:pt>
                <c:pt idx="3">
                  <c:v>86000</c:v>
                </c:pt>
                <c:pt idx="4">
                  <c:v>87000</c:v>
                </c:pt>
                <c:pt idx="5">
                  <c:v>88000</c:v>
                </c:pt>
                <c:pt idx="6">
                  <c:v>89000</c:v>
                </c:pt>
                <c:pt idx="7">
                  <c:v>90000</c:v>
                </c:pt>
                <c:pt idx="8">
                  <c:v>91000</c:v>
                </c:pt>
                <c:pt idx="9">
                  <c:v>92000</c:v>
                </c:pt>
                <c:pt idx="10">
                  <c:v>93000</c:v>
                </c:pt>
              </c:numCache>
            </c:numRef>
          </c:cat>
          <c:val>
            <c:numRef>
              <c:f>Sheet1!$J$8:$J$18</c:f>
              <c:numCache>
                <c:formatCode>General</c:formatCode>
                <c:ptCount val="11"/>
                <c:pt idx="0">
                  <c:v>-8000</c:v>
                </c:pt>
                <c:pt idx="1">
                  <c:v>-4000</c:v>
                </c:pt>
                <c:pt idx="2">
                  <c:v>0</c:v>
                </c:pt>
                <c:pt idx="3">
                  <c:v>4000</c:v>
                </c:pt>
                <c:pt idx="4">
                  <c:v>8000</c:v>
                </c:pt>
                <c:pt idx="5">
                  <c:v>12000</c:v>
                </c:pt>
                <c:pt idx="6">
                  <c:v>16000</c:v>
                </c:pt>
                <c:pt idx="7">
                  <c:v>20000</c:v>
                </c:pt>
                <c:pt idx="8">
                  <c:v>24000</c:v>
                </c:pt>
                <c:pt idx="9">
                  <c:v>28000</c:v>
                </c:pt>
                <c:pt idx="10">
                  <c:v>32000</c:v>
                </c:pt>
              </c:numCache>
            </c:numRef>
          </c:val>
          <c:smooth val="0"/>
        </c:ser>
        <c:ser>
          <c:idx val="1"/>
          <c:order val="1"/>
          <c:tx>
            <c:v>Plan B</c:v>
          </c:tx>
          <c:cat>
            <c:numRef>
              <c:f>Sheet1!$I$8:$I$18</c:f>
              <c:numCache>
                <c:formatCode>General</c:formatCode>
                <c:ptCount val="11"/>
                <c:pt idx="0">
                  <c:v>83000</c:v>
                </c:pt>
                <c:pt idx="1">
                  <c:v>84000</c:v>
                </c:pt>
                <c:pt idx="2">
                  <c:v>85000</c:v>
                </c:pt>
                <c:pt idx="3">
                  <c:v>86000</c:v>
                </c:pt>
                <c:pt idx="4">
                  <c:v>87000</c:v>
                </c:pt>
                <c:pt idx="5">
                  <c:v>88000</c:v>
                </c:pt>
                <c:pt idx="6">
                  <c:v>89000</c:v>
                </c:pt>
                <c:pt idx="7">
                  <c:v>90000</c:v>
                </c:pt>
                <c:pt idx="8">
                  <c:v>91000</c:v>
                </c:pt>
                <c:pt idx="9">
                  <c:v>92000</c:v>
                </c:pt>
                <c:pt idx="10">
                  <c:v>93000</c:v>
                </c:pt>
              </c:numCache>
            </c:numRef>
          </c:cat>
          <c:val>
            <c:numRef>
              <c:f>Sheet1!$K$8:$K$18</c:f>
              <c:numCache>
                <c:formatCode>General</c:formatCode>
                <c:ptCount val="11"/>
                <c:pt idx="0">
                  <c:v>-3500</c:v>
                </c:pt>
                <c:pt idx="1">
                  <c:v>0</c:v>
                </c:pt>
                <c:pt idx="2">
                  <c:v>3500</c:v>
                </c:pt>
                <c:pt idx="3">
                  <c:v>7000</c:v>
                </c:pt>
                <c:pt idx="4">
                  <c:v>10500</c:v>
                </c:pt>
                <c:pt idx="5">
                  <c:v>14000</c:v>
                </c:pt>
                <c:pt idx="6">
                  <c:v>17500</c:v>
                </c:pt>
                <c:pt idx="7">
                  <c:v>21000</c:v>
                </c:pt>
                <c:pt idx="8">
                  <c:v>24500</c:v>
                </c:pt>
                <c:pt idx="9">
                  <c:v>28000</c:v>
                </c:pt>
                <c:pt idx="10">
                  <c:v>31500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39439552"/>
        <c:axId val="-939434112"/>
      </c:lineChart>
      <c:catAx>
        <c:axId val="-939439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939434112"/>
        <c:crosses val="autoZero"/>
        <c:auto val="1"/>
        <c:lblAlgn val="ctr"/>
        <c:lblOffset val="100"/>
        <c:noMultiLvlLbl val="0"/>
      </c:catAx>
      <c:valAx>
        <c:axId val="-939434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9394395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Plan A</c:v>
          </c:tx>
          <c:cat>
            <c:numRef>
              <c:f>extension!$I$8:$I$18</c:f>
              <c:numCache>
                <c:formatCode>General</c:formatCode>
                <c:ptCount val="11"/>
                <c:pt idx="0">
                  <c:v>83000</c:v>
                </c:pt>
                <c:pt idx="1">
                  <c:v>84000</c:v>
                </c:pt>
                <c:pt idx="2">
                  <c:v>85000</c:v>
                </c:pt>
                <c:pt idx="3">
                  <c:v>86000</c:v>
                </c:pt>
                <c:pt idx="4">
                  <c:v>87000</c:v>
                </c:pt>
                <c:pt idx="5">
                  <c:v>88000</c:v>
                </c:pt>
                <c:pt idx="6">
                  <c:v>89000</c:v>
                </c:pt>
                <c:pt idx="7">
                  <c:v>90000</c:v>
                </c:pt>
                <c:pt idx="8">
                  <c:v>91000</c:v>
                </c:pt>
                <c:pt idx="9">
                  <c:v>92000</c:v>
                </c:pt>
                <c:pt idx="10">
                  <c:v>93000</c:v>
                </c:pt>
              </c:numCache>
            </c:numRef>
          </c:cat>
          <c:val>
            <c:numRef>
              <c:f>extension!$J$8:$J$18</c:f>
              <c:numCache>
                <c:formatCode>General</c:formatCode>
                <c:ptCount val="11"/>
                <c:pt idx="0">
                  <c:v>12000</c:v>
                </c:pt>
                <c:pt idx="1">
                  <c:v>16000</c:v>
                </c:pt>
                <c:pt idx="2">
                  <c:v>20000</c:v>
                </c:pt>
                <c:pt idx="3">
                  <c:v>24000</c:v>
                </c:pt>
                <c:pt idx="4">
                  <c:v>28000</c:v>
                </c:pt>
                <c:pt idx="5">
                  <c:v>32000</c:v>
                </c:pt>
                <c:pt idx="6">
                  <c:v>36000</c:v>
                </c:pt>
                <c:pt idx="7">
                  <c:v>10000</c:v>
                </c:pt>
                <c:pt idx="8">
                  <c:v>14000</c:v>
                </c:pt>
                <c:pt idx="9">
                  <c:v>18000</c:v>
                </c:pt>
                <c:pt idx="10">
                  <c:v>22000</c:v>
                </c:pt>
              </c:numCache>
            </c:numRef>
          </c:val>
          <c:smooth val="0"/>
        </c:ser>
        <c:ser>
          <c:idx val="1"/>
          <c:order val="1"/>
          <c:tx>
            <c:v>Plan B</c:v>
          </c:tx>
          <c:cat>
            <c:numRef>
              <c:f>extension!$I$8:$I$18</c:f>
              <c:numCache>
                <c:formatCode>General</c:formatCode>
                <c:ptCount val="11"/>
                <c:pt idx="0">
                  <c:v>83000</c:v>
                </c:pt>
                <c:pt idx="1">
                  <c:v>84000</c:v>
                </c:pt>
                <c:pt idx="2">
                  <c:v>85000</c:v>
                </c:pt>
                <c:pt idx="3">
                  <c:v>86000</c:v>
                </c:pt>
                <c:pt idx="4">
                  <c:v>87000</c:v>
                </c:pt>
                <c:pt idx="5">
                  <c:v>88000</c:v>
                </c:pt>
                <c:pt idx="6">
                  <c:v>89000</c:v>
                </c:pt>
                <c:pt idx="7">
                  <c:v>90000</c:v>
                </c:pt>
                <c:pt idx="8">
                  <c:v>91000</c:v>
                </c:pt>
                <c:pt idx="9">
                  <c:v>92000</c:v>
                </c:pt>
                <c:pt idx="10">
                  <c:v>93000</c:v>
                </c:pt>
              </c:numCache>
            </c:numRef>
          </c:cat>
          <c:val>
            <c:numRef>
              <c:f>extension!$K$8:$K$18</c:f>
              <c:numCache>
                <c:formatCode>General</c:formatCode>
                <c:ptCount val="11"/>
                <c:pt idx="0">
                  <c:v>16500</c:v>
                </c:pt>
                <c:pt idx="1">
                  <c:v>20000</c:v>
                </c:pt>
                <c:pt idx="2">
                  <c:v>23500</c:v>
                </c:pt>
                <c:pt idx="3">
                  <c:v>27000</c:v>
                </c:pt>
                <c:pt idx="4">
                  <c:v>30500</c:v>
                </c:pt>
                <c:pt idx="5">
                  <c:v>34000</c:v>
                </c:pt>
                <c:pt idx="6">
                  <c:v>37500</c:v>
                </c:pt>
                <c:pt idx="7">
                  <c:v>11000</c:v>
                </c:pt>
                <c:pt idx="8">
                  <c:v>14500</c:v>
                </c:pt>
                <c:pt idx="9">
                  <c:v>18000</c:v>
                </c:pt>
                <c:pt idx="10">
                  <c:v>21500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39439008"/>
        <c:axId val="-939435744"/>
      </c:lineChart>
      <c:catAx>
        <c:axId val="-93943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939435744"/>
        <c:crosses val="autoZero"/>
        <c:auto val="1"/>
        <c:lblAlgn val="ctr"/>
        <c:lblOffset val="100"/>
        <c:noMultiLvlLbl val="0"/>
      </c:catAx>
      <c:valAx>
        <c:axId val="-93943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939439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20</xdr:row>
          <xdr:rowOff>107950</xdr:rowOff>
        </xdr:from>
        <xdr:to>
          <xdr:col>16</xdr:col>
          <xdr:colOff>317500</xdr:colOff>
          <xdr:row>23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Table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890587</xdr:colOff>
      <xdr:row>21</xdr:row>
      <xdr:rowOff>71437</xdr:rowOff>
    </xdr:from>
    <xdr:to>
      <xdr:col>12</xdr:col>
      <xdr:colOff>233362</xdr:colOff>
      <xdr:row>35</xdr:row>
      <xdr:rowOff>147637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604837</xdr:colOff>
      <xdr:row>13</xdr:row>
      <xdr:rowOff>109537</xdr:rowOff>
    </xdr:from>
    <xdr:to>
      <xdr:col>19</xdr:col>
      <xdr:colOff>300037</xdr:colOff>
      <xdr:row>27</xdr:row>
      <xdr:rowOff>185737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T18"/>
  <sheetViews>
    <sheetView tabSelected="1" topLeftCell="F1" workbookViewId="0">
      <selection activeCell="R8" sqref="R8"/>
    </sheetView>
  </sheetViews>
  <sheetFormatPr defaultRowHeight="14.5" x14ac:dyDescent="0.35"/>
  <cols>
    <col min="5" max="5" width="14.453125" customWidth="1"/>
  </cols>
  <sheetData>
    <row r="2" spans="1:20" x14ac:dyDescent="0.35">
      <c r="F2" t="s">
        <v>1</v>
      </c>
      <c r="G2" t="s">
        <v>2</v>
      </c>
    </row>
    <row r="3" spans="1:20" x14ac:dyDescent="0.35">
      <c r="A3" t="s">
        <v>0</v>
      </c>
      <c r="E3" t="s">
        <v>3</v>
      </c>
    </row>
    <row r="4" spans="1:20" x14ac:dyDescent="0.35">
      <c r="E4" s="1" t="s">
        <v>4</v>
      </c>
      <c r="F4" s="1">
        <v>20000</v>
      </c>
      <c r="G4" s="1">
        <v>20000</v>
      </c>
      <c r="I4" t="s">
        <v>23</v>
      </c>
      <c r="M4" t="s">
        <v>32</v>
      </c>
    </row>
    <row r="5" spans="1:20" x14ac:dyDescent="0.35">
      <c r="A5" s="1" t="s">
        <v>8</v>
      </c>
      <c r="B5" s="1"/>
      <c r="C5" s="1">
        <v>15</v>
      </c>
      <c r="E5" s="1" t="s">
        <v>5</v>
      </c>
      <c r="F5" s="1">
        <v>1</v>
      </c>
      <c r="G5" s="1">
        <v>0.6</v>
      </c>
      <c r="I5" t="s">
        <v>24</v>
      </c>
      <c r="M5" t="s">
        <v>33</v>
      </c>
    </row>
    <row r="6" spans="1:20" x14ac:dyDescent="0.35">
      <c r="A6" s="1" t="s">
        <v>9</v>
      </c>
      <c r="B6" s="1"/>
      <c r="C6" s="1">
        <v>5</v>
      </c>
      <c r="E6" s="1" t="s">
        <v>6</v>
      </c>
      <c r="F6" s="1"/>
      <c r="G6" s="1">
        <v>60000</v>
      </c>
      <c r="I6" t="s">
        <v>25</v>
      </c>
      <c r="J6" t="s">
        <v>26</v>
      </c>
      <c r="K6" t="s">
        <v>27</v>
      </c>
    </row>
    <row r="7" spans="1:20" x14ac:dyDescent="0.35">
      <c r="A7" s="1" t="s">
        <v>10</v>
      </c>
      <c r="B7" s="1"/>
      <c r="C7" s="1">
        <v>25</v>
      </c>
      <c r="E7" s="1" t="s">
        <v>7</v>
      </c>
      <c r="F7" s="1"/>
      <c r="G7" s="1">
        <v>1.5</v>
      </c>
      <c r="J7">
        <f>F15</f>
        <v>20000</v>
      </c>
      <c r="K7">
        <f>G15</f>
        <v>21000</v>
      </c>
      <c r="M7">
        <f>F15</f>
        <v>20000</v>
      </c>
      <c r="N7">
        <v>80000</v>
      </c>
      <c r="O7">
        <v>81000</v>
      </c>
      <c r="P7">
        <v>82000</v>
      </c>
      <c r="Q7">
        <v>83000</v>
      </c>
      <c r="R7">
        <v>84000</v>
      </c>
      <c r="S7">
        <v>85000</v>
      </c>
      <c r="T7">
        <v>86000</v>
      </c>
    </row>
    <row r="8" spans="1:20" x14ac:dyDescent="0.35">
      <c r="A8" s="1"/>
      <c r="B8" s="1"/>
      <c r="C8" s="1"/>
      <c r="I8">
        <v>83000</v>
      </c>
      <c r="J8">
        <f t="dataTable" ref="J8:K18" dt2D="0" dtr="0" r1="C14" ca="1"/>
        <v>-8000</v>
      </c>
      <c r="K8">
        <v>-3500</v>
      </c>
      <c r="M8">
        <v>83000</v>
      </c>
      <c r="N8">
        <f t="dataTable" ref="N8:T18" dt2D="1" dtr="1" r1="C11" r2="C14"/>
        <v>-8000</v>
      </c>
      <c r="O8">
        <v>-9000</v>
      </c>
      <c r="P8">
        <v>-10000</v>
      </c>
      <c r="Q8">
        <v>-11000</v>
      </c>
      <c r="R8">
        <v>-12000</v>
      </c>
      <c r="S8">
        <v>-13000</v>
      </c>
      <c r="T8">
        <v>-14000</v>
      </c>
    </row>
    <row r="9" spans="1:20" x14ac:dyDescent="0.35">
      <c r="A9" s="1" t="s">
        <v>11</v>
      </c>
      <c r="B9" s="1"/>
      <c r="C9" s="1">
        <v>60000</v>
      </c>
      <c r="E9" s="2" t="s">
        <v>16</v>
      </c>
      <c r="F9" s="2">
        <f>SUM($C$9:$C$12)</f>
        <v>360000</v>
      </c>
      <c r="G9" s="2">
        <f>SUM($C$9:$C$12)</f>
        <v>360000</v>
      </c>
      <c r="H9" s="2"/>
      <c r="I9">
        <v>84000</v>
      </c>
      <c r="J9">
        <v>-4000</v>
      </c>
      <c r="K9">
        <v>0</v>
      </c>
      <c r="M9">
        <v>84000</v>
      </c>
      <c r="N9">
        <v>-4000</v>
      </c>
      <c r="O9">
        <v>-5000</v>
      </c>
      <c r="P9">
        <v>-6000</v>
      </c>
      <c r="Q9">
        <v>-7000</v>
      </c>
      <c r="R9">
        <v>-8000</v>
      </c>
      <c r="S9">
        <v>-9000</v>
      </c>
      <c r="T9">
        <v>-10000</v>
      </c>
    </row>
    <row r="10" spans="1:20" x14ac:dyDescent="0.35">
      <c r="A10" s="1" t="s">
        <v>12</v>
      </c>
      <c r="B10" s="1"/>
      <c r="C10" s="1">
        <v>200000</v>
      </c>
      <c r="E10" s="2" t="s">
        <v>17</v>
      </c>
      <c r="F10" s="2">
        <f>$C$5*$C$14</f>
        <v>1350000</v>
      </c>
      <c r="G10" s="2">
        <f>$C$5*$C$14</f>
        <v>1350000</v>
      </c>
      <c r="H10" s="2"/>
      <c r="I10">
        <v>85000</v>
      </c>
      <c r="J10">
        <v>0</v>
      </c>
      <c r="K10">
        <v>3500</v>
      </c>
      <c r="M10">
        <v>85000</v>
      </c>
      <c r="N10">
        <v>0</v>
      </c>
      <c r="O10">
        <v>-1000</v>
      </c>
      <c r="P10">
        <v>-2000</v>
      </c>
      <c r="Q10">
        <v>-3000</v>
      </c>
      <c r="R10">
        <v>-4000</v>
      </c>
      <c r="S10">
        <v>-5000</v>
      </c>
      <c r="T10">
        <v>-6000</v>
      </c>
    </row>
    <row r="11" spans="1:20" x14ac:dyDescent="0.35">
      <c r="A11" s="1" t="s">
        <v>13</v>
      </c>
      <c r="B11" s="1"/>
      <c r="C11" s="1">
        <v>80000</v>
      </c>
      <c r="E11" s="2" t="s">
        <v>18</v>
      </c>
      <c r="F11" s="2">
        <f>$C$6*$C$14</f>
        <v>450000</v>
      </c>
      <c r="G11" s="2">
        <f>$C$6*$C$14</f>
        <v>450000</v>
      </c>
      <c r="H11" s="2"/>
      <c r="I11">
        <v>86000</v>
      </c>
      <c r="J11">
        <v>4000</v>
      </c>
      <c r="K11">
        <v>7000</v>
      </c>
      <c r="M11">
        <v>86000</v>
      </c>
      <c r="N11">
        <v>4000</v>
      </c>
      <c r="O11">
        <v>3000</v>
      </c>
      <c r="P11">
        <v>2000</v>
      </c>
      <c r="Q11">
        <v>1000</v>
      </c>
      <c r="R11">
        <v>0</v>
      </c>
      <c r="S11">
        <v>-1000</v>
      </c>
      <c r="T11">
        <v>-2000</v>
      </c>
    </row>
    <row r="12" spans="1:20" x14ac:dyDescent="0.35">
      <c r="A12" s="1" t="s">
        <v>14</v>
      </c>
      <c r="B12" s="1"/>
      <c r="C12" s="1">
        <v>20000</v>
      </c>
      <c r="E12" s="2" t="s">
        <v>19</v>
      </c>
      <c r="F12" s="2">
        <f>IF(C14&lt;F4,0,(C14-F4)*F5)</f>
        <v>70000</v>
      </c>
      <c r="G12" s="2">
        <f>IF(C14&lt;G4,0,IF(C14&lt;=G6,(C14-G4)*G5,(G6-G4)*G5+(C14-G6)*G7))</f>
        <v>69000</v>
      </c>
      <c r="H12" s="2"/>
      <c r="I12">
        <v>87000</v>
      </c>
      <c r="J12">
        <v>8000</v>
      </c>
      <c r="K12">
        <v>10500</v>
      </c>
      <c r="M12">
        <v>87000</v>
      </c>
      <c r="N12">
        <v>8000</v>
      </c>
      <c r="O12">
        <v>7000</v>
      </c>
      <c r="P12">
        <v>6000</v>
      </c>
      <c r="Q12">
        <v>5000</v>
      </c>
      <c r="R12">
        <v>4000</v>
      </c>
      <c r="S12">
        <v>3000</v>
      </c>
      <c r="T12">
        <v>2000</v>
      </c>
    </row>
    <row r="13" spans="1:20" x14ac:dyDescent="0.35">
      <c r="A13" s="2"/>
      <c r="B13" s="2"/>
      <c r="C13" s="2"/>
      <c r="E13" s="2" t="s">
        <v>20</v>
      </c>
      <c r="F13" s="2">
        <f>SUM(F9:F12)</f>
        <v>2230000</v>
      </c>
      <c r="G13" s="2">
        <f>SUM(G9:G12)</f>
        <v>2229000</v>
      </c>
      <c r="H13" s="2"/>
      <c r="I13">
        <v>88000</v>
      </c>
      <c r="J13">
        <v>12000</v>
      </c>
      <c r="K13">
        <v>14000</v>
      </c>
      <c r="M13">
        <v>88000</v>
      </c>
      <c r="N13">
        <v>12000</v>
      </c>
      <c r="O13">
        <v>11000</v>
      </c>
      <c r="P13">
        <v>10000</v>
      </c>
      <c r="Q13">
        <v>9000</v>
      </c>
      <c r="R13">
        <v>8000</v>
      </c>
      <c r="S13">
        <v>7000</v>
      </c>
      <c r="T13">
        <v>6000</v>
      </c>
    </row>
    <row r="14" spans="1:20" x14ac:dyDescent="0.35">
      <c r="A14" s="2" t="s">
        <v>15</v>
      </c>
      <c r="B14" s="2"/>
      <c r="C14" s="2">
        <v>90000</v>
      </c>
      <c r="E14" s="2" t="s">
        <v>21</v>
      </c>
      <c r="F14" s="2">
        <f>$C$14*$C$7</f>
        <v>2250000</v>
      </c>
      <c r="G14" s="2">
        <f>$C$14*$C$7</f>
        <v>2250000</v>
      </c>
      <c r="H14" s="2"/>
      <c r="I14">
        <v>89000</v>
      </c>
      <c r="J14">
        <v>16000</v>
      </c>
      <c r="K14">
        <v>17500</v>
      </c>
      <c r="M14">
        <v>89000</v>
      </c>
      <c r="N14">
        <v>16000</v>
      </c>
      <c r="O14">
        <v>15000</v>
      </c>
      <c r="P14">
        <v>14000</v>
      </c>
      <c r="Q14">
        <v>13000</v>
      </c>
      <c r="R14">
        <v>12000</v>
      </c>
      <c r="S14">
        <v>11000</v>
      </c>
      <c r="T14">
        <v>10000</v>
      </c>
    </row>
    <row r="15" spans="1:20" x14ac:dyDescent="0.35">
      <c r="E15" s="5" t="s">
        <v>22</v>
      </c>
      <c r="F15" s="5">
        <f>F14-F13</f>
        <v>20000</v>
      </c>
      <c r="G15" s="5">
        <f>G14-G13</f>
        <v>21000</v>
      </c>
      <c r="H15" s="2"/>
      <c r="I15">
        <v>90000</v>
      </c>
      <c r="J15">
        <v>20000</v>
      </c>
      <c r="K15">
        <v>21000</v>
      </c>
      <c r="M15">
        <v>90000</v>
      </c>
      <c r="N15">
        <v>20000</v>
      </c>
      <c r="O15">
        <v>19000</v>
      </c>
      <c r="P15">
        <v>18000</v>
      </c>
      <c r="Q15">
        <v>17000</v>
      </c>
      <c r="R15">
        <v>16000</v>
      </c>
      <c r="S15">
        <v>15000</v>
      </c>
      <c r="T15">
        <v>14000</v>
      </c>
    </row>
    <row r="16" spans="1:20" x14ac:dyDescent="0.35">
      <c r="E16" s="2"/>
      <c r="F16" s="2"/>
      <c r="G16" s="2"/>
      <c r="H16" s="2"/>
      <c r="I16">
        <v>91000</v>
      </c>
      <c r="J16">
        <v>24000</v>
      </c>
      <c r="K16">
        <v>24500</v>
      </c>
      <c r="M16">
        <v>91000</v>
      </c>
      <c r="N16">
        <v>24000</v>
      </c>
      <c r="O16">
        <v>23000</v>
      </c>
      <c r="P16">
        <v>22000</v>
      </c>
      <c r="Q16">
        <v>21000</v>
      </c>
      <c r="R16">
        <v>20000</v>
      </c>
      <c r="S16">
        <v>19000</v>
      </c>
      <c r="T16">
        <v>18000</v>
      </c>
    </row>
    <row r="17" spans="9:20" x14ac:dyDescent="0.35">
      <c r="I17">
        <v>92000</v>
      </c>
      <c r="J17">
        <v>28000</v>
      </c>
      <c r="K17">
        <v>28000</v>
      </c>
      <c r="M17">
        <v>92000</v>
      </c>
      <c r="N17">
        <v>28000</v>
      </c>
      <c r="O17">
        <v>27000</v>
      </c>
      <c r="P17">
        <v>26000</v>
      </c>
      <c r="Q17">
        <v>25000</v>
      </c>
      <c r="R17">
        <v>24000</v>
      </c>
      <c r="S17">
        <v>23000</v>
      </c>
      <c r="T17">
        <v>22000</v>
      </c>
    </row>
    <row r="18" spans="9:20" x14ac:dyDescent="0.35">
      <c r="I18">
        <v>93000</v>
      </c>
      <c r="J18">
        <v>32000</v>
      </c>
      <c r="K18">
        <v>31500</v>
      </c>
      <c r="M18">
        <v>93000</v>
      </c>
      <c r="N18">
        <v>32000</v>
      </c>
      <c r="O18">
        <v>31000</v>
      </c>
      <c r="P18">
        <v>30000</v>
      </c>
      <c r="Q18">
        <v>29000</v>
      </c>
      <c r="R18">
        <v>28000</v>
      </c>
      <c r="S18">
        <v>27000</v>
      </c>
      <c r="T18">
        <v>26000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bl">
                <anchor moveWithCells="1" sizeWithCells="1">
                  <from>
                    <xdr:col>14</xdr:col>
                    <xdr:colOff>19050</xdr:colOff>
                    <xdr:row>20</xdr:row>
                    <xdr:rowOff>107950</xdr:rowOff>
                  </from>
                  <to>
                    <xdr:col>16</xdr:col>
                    <xdr:colOff>317500</xdr:colOff>
                    <xdr:row>23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K22"/>
  <sheetViews>
    <sheetView workbookViewId="0">
      <selection activeCell="K23" sqref="K23"/>
    </sheetView>
  </sheetViews>
  <sheetFormatPr defaultRowHeight="14.5" x14ac:dyDescent="0.35"/>
  <sheetData>
    <row r="2" spans="1:11" x14ac:dyDescent="0.35">
      <c r="F2" t="s">
        <v>1</v>
      </c>
      <c r="G2" t="s">
        <v>2</v>
      </c>
    </row>
    <row r="3" spans="1:11" x14ac:dyDescent="0.35">
      <c r="A3" t="s">
        <v>0</v>
      </c>
      <c r="E3" t="s">
        <v>3</v>
      </c>
    </row>
    <row r="4" spans="1:11" x14ac:dyDescent="0.35">
      <c r="E4" s="1" t="s">
        <v>4</v>
      </c>
      <c r="F4" s="1">
        <v>20000</v>
      </c>
      <c r="G4" s="1">
        <v>20000</v>
      </c>
      <c r="I4" t="s">
        <v>23</v>
      </c>
    </row>
    <row r="5" spans="1:11" x14ac:dyDescent="0.35">
      <c r="A5" s="1" t="s">
        <v>8</v>
      </c>
      <c r="B5" s="1"/>
      <c r="C5" s="1">
        <v>15</v>
      </c>
      <c r="E5" s="1" t="s">
        <v>5</v>
      </c>
      <c r="F5" s="1">
        <v>1</v>
      </c>
      <c r="G5" s="1">
        <v>0.6</v>
      </c>
      <c r="I5" t="s">
        <v>24</v>
      </c>
    </row>
    <row r="6" spans="1:11" x14ac:dyDescent="0.35">
      <c r="A6" s="1" t="s">
        <v>9</v>
      </c>
      <c r="B6" s="1"/>
      <c r="C6" s="1">
        <v>5</v>
      </c>
      <c r="E6" s="1" t="s">
        <v>6</v>
      </c>
      <c r="F6" s="1"/>
      <c r="G6" s="1">
        <v>60000</v>
      </c>
      <c r="I6" t="s">
        <v>25</v>
      </c>
      <c r="J6" t="s">
        <v>26</v>
      </c>
      <c r="K6" t="s">
        <v>27</v>
      </c>
    </row>
    <row r="7" spans="1:11" x14ac:dyDescent="0.35">
      <c r="A7" s="1" t="s">
        <v>10</v>
      </c>
      <c r="B7" s="1"/>
      <c r="C7" s="1">
        <v>25</v>
      </c>
      <c r="E7" s="1" t="s">
        <v>7</v>
      </c>
      <c r="F7" s="1"/>
      <c r="G7" s="1">
        <v>1.5</v>
      </c>
      <c r="J7">
        <f>F15</f>
        <v>30000</v>
      </c>
      <c r="K7">
        <f>G15</f>
        <v>28500</v>
      </c>
    </row>
    <row r="8" spans="1:11" x14ac:dyDescent="0.35">
      <c r="A8" s="1"/>
      <c r="B8" s="1"/>
      <c r="C8" s="1"/>
      <c r="E8" s="2" t="s">
        <v>31</v>
      </c>
      <c r="F8" s="2">
        <f>VLOOKUP($C$13,$A$18:$B$22,2,1)</f>
        <v>90000</v>
      </c>
      <c r="G8" s="2">
        <f>VLOOKUP($C$13,$A$18:$B$22,2,1)</f>
        <v>90000</v>
      </c>
      <c r="I8">
        <v>83000</v>
      </c>
      <c r="J8">
        <f t="dataTable" ref="J8:K18" dt2D="0" dtr="0" r1="C13"/>
        <v>12000</v>
      </c>
      <c r="K8">
        <v>16500</v>
      </c>
    </row>
    <row r="9" spans="1:11" x14ac:dyDescent="0.35">
      <c r="A9" s="1" t="s">
        <v>11</v>
      </c>
      <c r="B9" s="1"/>
      <c r="C9" s="1">
        <v>60000</v>
      </c>
      <c r="E9" s="2" t="s">
        <v>16</v>
      </c>
      <c r="F9" s="2">
        <f>SUM($C$9:$C$11)</f>
        <v>280000</v>
      </c>
      <c r="G9" s="2">
        <f>SUM($C$9:$C$11)</f>
        <v>280000</v>
      </c>
      <c r="H9" s="2"/>
      <c r="I9">
        <v>84000</v>
      </c>
      <c r="J9">
        <v>16000</v>
      </c>
      <c r="K9">
        <v>20000</v>
      </c>
    </row>
    <row r="10" spans="1:11" x14ac:dyDescent="0.35">
      <c r="A10" s="1" t="s">
        <v>12</v>
      </c>
      <c r="B10" s="1"/>
      <c r="C10" s="1">
        <v>200000</v>
      </c>
      <c r="E10" s="2" t="s">
        <v>17</v>
      </c>
      <c r="F10" s="2">
        <f>$C$5*$C$13</f>
        <v>1425000</v>
      </c>
      <c r="G10" s="2">
        <f>$C$5*$C$13</f>
        <v>1425000</v>
      </c>
      <c r="H10" s="2"/>
      <c r="I10">
        <v>85000</v>
      </c>
      <c r="J10">
        <v>20000</v>
      </c>
      <c r="K10">
        <v>23500</v>
      </c>
    </row>
    <row r="11" spans="1:11" x14ac:dyDescent="0.35">
      <c r="A11" s="1" t="s">
        <v>14</v>
      </c>
      <c r="B11" s="1"/>
      <c r="C11" s="1">
        <v>20000</v>
      </c>
      <c r="E11" s="2" t="s">
        <v>18</v>
      </c>
      <c r="F11" s="2">
        <f>$C$6*$C$13</f>
        <v>475000</v>
      </c>
      <c r="G11" s="2">
        <f>$C$6*$C$13</f>
        <v>475000</v>
      </c>
      <c r="H11" s="2"/>
      <c r="I11">
        <v>86000</v>
      </c>
      <c r="J11">
        <v>24000</v>
      </c>
      <c r="K11">
        <v>27000</v>
      </c>
    </row>
    <row r="12" spans="1:11" x14ac:dyDescent="0.35">
      <c r="A12" s="2"/>
      <c r="B12" s="2"/>
      <c r="C12" s="2"/>
      <c r="E12" s="2" t="s">
        <v>19</v>
      </c>
      <c r="F12" s="2">
        <f>IF(C13&lt;F4,0,(C13-F4)*F5)</f>
        <v>75000</v>
      </c>
      <c r="G12" s="2">
        <f>IF(C13&lt;G4,0,IF(C13&lt;=G6,(C13-G4)*G5,(G6-G4)*G5+(C13-G6)*G7))</f>
        <v>76500</v>
      </c>
      <c r="H12" s="2"/>
      <c r="I12">
        <v>87000</v>
      </c>
      <c r="J12">
        <v>28000</v>
      </c>
      <c r="K12">
        <v>30500</v>
      </c>
    </row>
    <row r="13" spans="1:11" x14ac:dyDescent="0.35">
      <c r="A13" s="2" t="s">
        <v>15</v>
      </c>
      <c r="B13" s="2"/>
      <c r="C13" s="2">
        <v>95000</v>
      </c>
      <c r="E13" s="2" t="s">
        <v>20</v>
      </c>
      <c r="F13" s="2">
        <f>SUM(F8:F12)</f>
        <v>2345000</v>
      </c>
      <c r="G13" s="2">
        <f>SUM(G8:G12)</f>
        <v>2346500</v>
      </c>
      <c r="H13" s="2"/>
      <c r="I13">
        <v>88000</v>
      </c>
      <c r="J13">
        <v>32000</v>
      </c>
      <c r="K13">
        <v>34000</v>
      </c>
    </row>
    <row r="14" spans="1:11" x14ac:dyDescent="0.35">
      <c r="E14" s="2" t="s">
        <v>21</v>
      </c>
      <c r="F14" s="2">
        <f>$C$13*$C$7</f>
        <v>2375000</v>
      </c>
      <c r="G14" s="2">
        <f>$C$13*$C$7</f>
        <v>2375000</v>
      </c>
      <c r="H14" s="2"/>
      <c r="I14">
        <v>89000</v>
      </c>
      <c r="J14">
        <v>36000</v>
      </c>
      <c r="K14">
        <v>37500</v>
      </c>
    </row>
    <row r="15" spans="1:11" x14ac:dyDescent="0.35">
      <c r="E15" s="2" t="s">
        <v>22</v>
      </c>
      <c r="F15" s="2">
        <f>F14-F13</f>
        <v>30000</v>
      </c>
      <c r="G15" s="2">
        <f>G14-G13</f>
        <v>28500</v>
      </c>
      <c r="H15" s="2"/>
      <c r="I15">
        <v>90000</v>
      </c>
      <c r="J15">
        <v>10000</v>
      </c>
      <c r="K15">
        <v>11000</v>
      </c>
    </row>
    <row r="16" spans="1:11" x14ac:dyDescent="0.35">
      <c r="A16" t="s">
        <v>28</v>
      </c>
      <c r="E16" s="2"/>
      <c r="F16" s="2"/>
      <c r="G16" s="2"/>
      <c r="H16" s="2"/>
      <c r="I16">
        <v>91000</v>
      </c>
      <c r="J16">
        <v>14000</v>
      </c>
      <c r="K16">
        <v>14500</v>
      </c>
    </row>
    <row r="17" spans="1:11" x14ac:dyDescent="0.35">
      <c r="A17" t="s">
        <v>29</v>
      </c>
      <c r="B17" t="s">
        <v>30</v>
      </c>
      <c r="I17">
        <v>92000</v>
      </c>
      <c r="J17">
        <v>18000</v>
      </c>
      <c r="K17">
        <v>18000</v>
      </c>
    </row>
    <row r="18" spans="1:11" x14ac:dyDescent="0.35">
      <c r="A18" s="1">
        <v>0</v>
      </c>
      <c r="B18" s="1">
        <v>5000</v>
      </c>
      <c r="I18">
        <v>93000</v>
      </c>
      <c r="J18">
        <v>22000</v>
      </c>
      <c r="K18">
        <v>21500</v>
      </c>
    </row>
    <row r="19" spans="1:11" x14ac:dyDescent="0.35">
      <c r="A19" s="1">
        <v>30000</v>
      </c>
      <c r="B19" s="1">
        <v>10000</v>
      </c>
    </row>
    <row r="20" spans="1:11" x14ac:dyDescent="0.35">
      <c r="A20" s="1">
        <v>60000</v>
      </c>
      <c r="B20" s="1">
        <v>30000</v>
      </c>
    </row>
    <row r="21" spans="1:11" x14ac:dyDescent="0.35">
      <c r="A21" s="1">
        <v>80000</v>
      </c>
      <c r="B21" s="1">
        <v>60000</v>
      </c>
    </row>
    <row r="22" spans="1:11" x14ac:dyDescent="0.35">
      <c r="A22" s="1">
        <v>90000</v>
      </c>
      <c r="B22" s="1">
        <v>90000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8"/>
  <sheetViews>
    <sheetView workbookViewId="0">
      <selection activeCell="E19" sqref="E19"/>
    </sheetView>
  </sheetViews>
  <sheetFormatPr defaultRowHeight="14.5" x14ac:dyDescent="0.35"/>
  <sheetData>
    <row r="2" spans="1:1" x14ac:dyDescent="0.35">
      <c r="A2" t="s">
        <v>39</v>
      </c>
    </row>
    <row r="3" spans="1:1" x14ac:dyDescent="0.35">
      <c r="A3" t="s">
        <v>34</v>
      </c>
    </row>
    <row r="4" spans="1:1" x14ac:dyDescent="0.35">
      <c r="A4" t="s">
        <v>35</v>
      </c>
    </row>
    <row r="5" spans="1:1" x14ac:dyDescent="0.35">
      <c r="A5" t="s">
        <v>36</v>
      </c>
    </row>
    <row r="6" spans="1:1" x14ac:dyDescent="0.35">
      <c r="A6" t="s">
        <v>41</v>
      </c>
    </row>
    <row r="7" spans="1:1" x14ac:dyDescent="0.35">
      <c r="A7" t="s">
        <v>37</v>
      </c>
    </row>
    <row r="8" spans="1:1" x14ac:dyDescent="0.35">
      <c r="A8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workbookViewId="0">
      <selection activeCell="G26" sqref="G26"/>
    </sheetView>
  </sheetViews>
  <sheetFormatPr defaultRowHeight="14.5" x14ac:dyDescent="0.35"/>
  <sheetData>
    <row r="1" spans="1:11" x14ac:dyDescent="0.35">
      <c r="B1" s="3" t="s">
        <v>38</v>
      </c>
    </row>
    <row r="3" spans="1:11" x14ac:dyDescent="0.35">
      <c r="B3" s="4">
        <v>1</v>
      </c>
      <c r="C3" s="4">
        <v>2</v>
      </c>
      <c r="D3" s="4">
        <v>3</v>
      </c>
      <c r="E3" s="4">
        <v>4</v>
      </c>
      <c r="F3" s="4">
        <v>5</v>
      </c>
      <c r="G3" s="4">
        <v>6</v>
      </c>
      <c r="H3" s="4">
        <v>7</v>
      </c>
      <c r="I3" s="4">
        <v>8</v>
      </c>
      <c r="J3" s="4">
        <v>9</v>
      </c>
      <c r="K3" s="4">
        <v>10</v>
      </c>
    </row>
    <row r="4" spans="1:11" x14ac:dyDescent="0.35">
      <c r="A4" s="4">
        <v>1</v>
      </c>
      <c r="B4">
        <f>$A4*B$3</f>
        <v>1</v>
      </c>
      <c r="C4">
        <f t="shared" ref="C4:K13" si="0">$A4*C$3</f>
        <v>2</v>
      </c>
      <c r="D4">
        <f t="shared" si="0"/>
        <v>3</v>
      </c>
      <c r="E4">
        <f t="shared" si="0"/>
        <v>4</v>
      </c>
      <c r="F4">
        <f t="shared" si="0"/>
        <v>5</v>
      </c>
      <c r="G4">
        <f t="shared" si="0"/>
        <v>6</v>
      </c>
      <c r="H4">
        <f t="shared" si="0"/>
        <v>7</v>
      </c>
      <c r="I4">
        <f t="shared" si="0"/>
        <v>8</v>
      </c>
      <c r="J4">
        <f t="shared" si="0"/>
        <v>9</v>
      </c>
      <c r="K4">
        <f t="shared" si="0"/>
        <v>10</v>
      </c>
    </row>
    <row r="5" spans="1:11" x14ac:dyDescent="0.35">
      <c r="A5" s="4">
        <v>2</v>
      </c>
      <c r="B5">
        <f t="shared" ref="B5:B13" si="1">$A5*B$3</f>
        <v>2</v>
      </c>
      <c r="C5">
        <f t="shared" si="0"/>
        <v>4</v>
      </c>
      <c r="D5">
        <f t="shared" si="0"/>
        <v>6</v>
      </c>
      <c r="E5">
        <f t="shared" si="0"/>
        <v>8</v>
      </c>
      <c r="F5">
        <f t="shared" si="0"/>
        <v>10</v>
      </c>
      <c r="G5">
        <f t="shared" si="0"/>
        <v>12</v>
      </c>
      <c r="H5">
        <f t="shared" si="0"/>
        <v>14</v>
      </c>
      <c r="I5">
        <f t="shared" si="0"/>
        <v>16</v>
      </c>
      <c r="J5">
        <f t="shared" si="0"/>
        <v>18</v>
      </c>
      <c r="K5">
        <f t="shared" si="0"/>
        <v>20</v>
      </c>
    </row>
    <row r="6" spans="1:11" x14ac:dyDescent="0.35">
      <c r="A6" s="4">
        <v>3</v>
      </c>
      <c r="B6">
        <f t="shared" si="1"/>
        <v>3</v>
      </c>
      <c r="C6">
        <f t="shared" si="0"/>
        <v>6</v>
      </c>
      <c r="D6">
        <f t="shared" si="0"/>
        <v>9</v>
      </c>
      <c r="E6">
        <f t="shared" si="0"/>
        <v>12</v>
      </c>
      <c r="F6">
        <f t="shared" si="0"/>
        <v>15</v>
      </c>
      <c r="G6">
        <f t="shared" si="0"/>
        <v>18</v>
      </c>
      <c r="H6">
        <f t="shared" si="0"/>
        <v>21</v>
      </c>
      <c r="I6">
        <f t="shared" si="0"/>
        <v>24</v>
      </c>
      <c r="J6">
        <f t="shared" si="0"/>
        <v>27</v>
      </c>
      <c r="K6">
        <f t="shared" si="0"/>
        <v>30</v>
      </c>
    </row>
    <row r="7" spans="1:11" x14ac:dyDescent="0.35">
      <c r="A7" s="4">
        <v>4</v>
      </c>
      <c r="B7">
        <f t="shared" si="1"/>
        <v>4</v>
      </c>
      <c r="C7">
        <f t="shared" si="0"/>
        <v>8</v>
      </c>
      <c r="D7">
        <f t="shared" si="0"/>
        <v>12</v>
      </c>
      <c r="E7">
        <f t="shared" si="0"/>
        <v>16</v>
      </c>
      <c r="F7">
        <f t="shared" si="0"/>
        <v>20</v>
      </c>
      <c r="G7">
        <f t="shared" si="0"/>
        <v>24</v>
      </c>
      <c r="H7">
        <f t="shared" si="0"/>
        <v>28</v>
      </c>
      <c r="I7">
        <f t="shared" si="0"/>
        <v>32</v>
      </c>
      <c r="J7">
        <f t="shared" si="0"/>
        <v>36</v>
      </c>
      <c r="K7">
        <f t="shared" si="0"/>
        <v>40</v>
      </c>
    </row>
    <row r="8" spans="1:11" x14ac:dyDescent="0.35">
      <c r="A8" s="4">
        <v>5</v>
      </c>
      <c r="B8">
        <f t="shared" si="1"/>
        <v>5</v>
      </c>
      <c r="C8">
        <f t="shared" si="0"/>
        <v>10</v>
      </c>
      <c r="D8">
        <f t="shared" si="0"/>
        <v>15</v>
      </c>
      <c r="E8">
        <f t="shared" si="0"/>
        <v>20</v>
      </c>
      <c r="F8">
        <f t="shared" si="0"/>
        <v>25</v>
      </c>
      <c r="G8">
        <f t="shared" si="0"/>
        <v>30</v>
      </c>
      <c r="H8">
        <f t="shared" si="0"/>
        <v>35</v>
      </c>
      <c r="I8">
        <f t="shared" si="0"/>
        <v>40</v>
      </c>
      <c r="J8">
        <f t="shared" si="0"/>
        <v>45</v>
      </c>
      <c r="K8">
        <f t="shared" si="0"/>
        <v>50</v>
      </c>
    </row>
    <row r="9" spans="1:11" x14ac:dyDescent="0.35">
      <c r="A9" s="4">
        <v>6</v>
      </c>
      <c r="B9">
        <f t="shared" si="1"/>
        <v>6</v>
      </c>
      <c r="C9">
        <f t="shared" si="0"/>
        <v>12</v>
      </c>
      <c r="D9">
        <f t="shared" si="0"/>
        <v>18</v>
      </c>
      <c r="E9">
        <f t="shared" si="0"/>
        <v>24</v>
      </c>
      <c r="F9">
        <f t="shared" si="0"/>
        <v>30</v>
      </c>
      <c r="G9">
        <f t="shared" si="0"/>
        <v>36</v>
      </c>
      <c r="H9">
        <f t="shared" si="0"/>
        <v>42</v>
      </c>
      <c r="I9">
        <f t="shared" si="0"/>
        <v>48</v>
      </c>
      <c r="J9">
        <f t="shared" si="0"/>
        <v>54</v>
      </c>
      <c r="K9">
        <f t="shared" si="0"/>
        <v>60</v>
      </c>
    </row>
    <row r="10" spans="1:11" x14ac:dyDescent="0.35">
      <c r="A10" s="4">
        <v>7</v>
      </c>
      <c r="B10">
        <f t="shared" si="1"/>
        <v>7</v>
      </c>
      <c r="C10">
        <f t="shared" si="0"/>
        <v>14</v>
      </c>
      <c r="D10">
        <f t="shared" si="0"/>
        <v>21</v>
      </c>
      <c r="E10">
        <f t="shared" si="0"/>
        <v>28</v>
      </c>
      <c r="F10">
        <f t="shared" si="0"/>
        <v>35</v>
      </c>
      <c r="G10">
        <f t="shared" si="0"/>
        <v>42</v>
      </c>
      <c r="H10">
        <f t="shared" si="0"/>
        <v>49</v>
      </c>
      <c r="I10">
        <f t="shared" si="0"/>
        <v>56</v>
      </c>
      <c r="J10">
        <f t="shared" si="0"/>
        <v>63</v>
      </c>
      <c r="K10">
        <f t="shared" si="0"/>
        <v>70</v>
      </c>
    </row>
    <row r="11" spans="1:11" x14ac:dyDescent="0.35">
      <c r="A11" s="4">
        <v>8</v>
      </c>
      <c r="B11">
        <f t="shared" si="1"/>
        <v>8</v>
      </c>
      <c r="C11">
        <f t="shared" si="0"/>
        <v>16</v>
      </c>
      <c r="D11">
        <f t="shared" si="0"/>
        <v>24</v>
      </c>
      <c r="E11">
        <f t="shared" si="0"/>
        <v>32</v>
      </c>
      <c r="F11">
        <f t="shared" si="0"/>
        <v>40</v>
      </c>
      <c r="G11">
        <f t="shared" si="0"/>
        <v>48</v>
      </c>
      <c r="H11">
        <f t="shared" si="0"/>
        <v>56</v>
      </c>
      <c r="I11">
        <f t="shared" si="0"/>
        <v>64</v>
      </c>
      <c r="J11">
        <f t="shared" si="0"/>
        <v>72</v>
      </c>
      <c r="K11">
        <f t="shared" si="0"/>
        <v>80</v>
      </c>
    </row>
    <row r="12" spans="1:11" x14ac:dyDescent="0.35">
      <c r="A12" s="4">
        <v>9</v>
      </c>
      <c r="B12">
        <f t="shared" si="1"/>
        <v>9</v>
      </c>
      <c r="C12">
        <f t="shared" si="0"/>
        <v>18</v>
      </c>
      <c r="D12">
        <f t="shared" si="0"/>
        <v>27</v>
      </c>
      <c r="E12">
        <f t="shared" si="0"/>
        <v>36</v>
      </c>
      <c r="F12">
        <f t="shared" si="0"/>
        <v>45</v>
      </c>
      <c r="G12">
        <f t="shared" si="0"/>
        <v>54</v>
      </c>
      <c r="H12">
        <f t="shared" si="0"/>
        <v>63</v>
      </c>
      <c r="I12">
        <f t="shared" si="0"/>
        <v>72</v>
      </c>
      <c r="J12">
        <f t="shared" si="0"/>
        <v>81</v>
      </c>
      <c r="K12">
        <f t="shared" si="0"/>
        <v>90</v>
      </c>
    </row>
    <row r="13" spans="1:11" x14ac:dyDescent="0.35">
      <c r="A13" s="4">
        <v>10</v>
      </c>
      <c r="B13">
        <f t="shared" si="1"/>
        <v>10</v>
      </c>
      <c r="C13">
        <f t="shared" si="0"/>
        <v>20</v>
      </c>
      <c r="D13">
        <f t="shared" si="0"/>
        <v>30</v>
      </c>
      <c r="E13">
        <f t="shared" si="0"/>
        <v>40</v>
      </c>
      <c r="F13">
        <f t="shared" si="0"/>
        <v>50</v>
      </c>
      <c r="G13">
        <f t="shared" si="0"/>
        <v>60</v>
      </c>
      <c r="H13">
        <f t="shared" si="0"/>
        <v>70</v>
      </c>
      <c r="I13">
        <f t="shared" si="0"/>
        <v>80</v>
      </c>
      <c r="J13">
        <f t="shared" si="0"/>
        <v>90</v>
      </c>
      <c r="K13">
        <f t="shared" si="0"/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extension</vt:lpstr>
      <vt:lpstr>points</vt:lpstr>
      <vt:lpstr>Multiplication Table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pc1</dc:creator>
  <cp:lastModifiedBy>naga dumpala</cp:lastModifiedBy>
  <dcterms:created xsi:type="dcterms:W3CDTF">2012-04-24T04:40:39Z</dcterms:created>
  <dcterms:modified xsi:type="dcterms:W3CDTF">2020-10-02T10:35:05Z</dcterms:modified>
</cp:coreProperties>
</file>